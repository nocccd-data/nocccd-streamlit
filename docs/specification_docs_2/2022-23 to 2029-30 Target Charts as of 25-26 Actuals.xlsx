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ml.chartshapes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drawings/drawing19.xml" ContentType="application/vnd.openxmlformats-officedocument.drawingml.chartshapes+xml"/>
  <Override PartName="/xl/charts/chart1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 hidePivotFieldList="1"/>
  <mc:AlternateContent xmlns:mc="http://schemas.openxmlformats.org/markup-compatibility/2006">
    <mc:Choice Requires="x15">
      <x15ac:absPath xmlns:x15ac="http://schemas.microsoft.com/office/spreadsheetml/2010/11/ac" url="https://nocccd0.sharepoint.com/sites/ESTData/Shared Documents/BOT Reports/BOT Goals/2026 Fall Student Success Data/"/>
    </mc:Choice>
  </mc:AlternateContent>
  <xr:revisionPtr revIDLastSave="0" documentId="8_{F8E14D7A-E0CE-4258-BD8E-9B83DEEFECAD}" xr6:coauthVersionLast="47" xr6:coauthVersionMax="47" xr10:uidLastSave="{00000000-0000-0000-0000-000000000000}"/>
  <bookViews>
    <workbookView minimized="1" xWindow="5025" yWindow="1020" windowWidth="22440" windowHeight="14460" tabRatio="875" firstSheet="1" activeTab="1" xr2:uid="{00000000-000D-0000-FFFF-FFFF00000000}"/>
  </bookViews>
  <sheets>
    <sheet name="AA" sheetId="1" r:id="rId1"/>
    <sheet name="ADT" sheetId="2" r:id="rId2"/>
    <sheet name="Credit Cert" sheetId="3" r:id="rId3"/>
    <sheet name="Noncredit Cert" sheetId="5" r:id="rId4"/>
    <sheet name="Bach" sheetId="4" r:id="rId5"/>
    <sheet name="Units Completed" sheetId="10" r:id="rId6"/>
    <sheet name="Xfer Ready" sheetId="6" r:id="rId7"/>
    <sheet name="Xfer 4-Year" sheetId="7" r:id="rId8"/>
    <sheet name="Xfer Ready vs Xfer" sheetId="12" r:id="rId9"/>
    <sheet name="Xfer 4-Year (CCCCO)" sheetId="8" r:id="rId10"/>
    <sheet name="Equity Analysis" sheetId="9" r:id="rId11"/>
  </sheets>
  <definedNames>
    <definedName name="_xlnm._FilterDatabase" localSheetId="10" hidden="1">'Equity Analysis'!$J$30:$K$30</definedName>
    <definedName name="_xlnm._FilterDatabase" localSheetId="8" hidden="1">'Xfer Ready vs Xfer'!$A$68:$D$68</definedName>
    <definedName name="_xlcn.WorksheetConnection_EquityAnalysisA1H78" hidden="1">'Equity Analysis'!$A$1:$H$60</definedName>
  </definedNames>
  <calcPr calcId="191028"/>
  <pivotCaches>
    <pivotCache cacheId="172" r:id="rId12"/>
    <pivotCache cacheId="17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Equity Analysis!$A$1:$H$7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J30" i="2"/>
  <c r="K29" i="2"/>
  <c r="D4" i="12"/>
  <c r="C4" i="12"/>
  <c r="B4" i="12"/>
  <c r="G6" i="10"/>
  <c r="D5" i="3"/>
  <c r="K34" i="10"/>
  <c r="H39" i="10"/>
  <c r="H38" i="10"/>
  <c r="H36" i="10"/>
  <c r="H35" i="10"/>
  <c r="H34" i="10"/>
  <c r="H28" i="10"/>
  <c r="D69" i="10"/>
  <c r="D68" i="10"/>
  <c r="I39" i="10" s="1"/>
  <c r="D67" i="10"/>
  <c r="I38" i="10" s="1"/>
  <c r="D66" i="10"/>
  <c r="D65" i="10"/>
  <c r="D64" i="10"/>
  <c r="D63" i="10"/>
  <c r="D62" i="10"/>
  <c r="D61" i="10"/>
  <c r="D45" i="10"/>
  <c r="D56" i="10"/>
  <c r="D55" i="10"/>
  <c r="I36" i="10" s="1"/>
  <c r="D54" i="10"/>
  <c r="I35" i="10" s="1"/>
  <c r="D53" i="10"/>
  <c r="I34" i="10" s="1"/>
  <c r="D52" i="10"/>
  <c r="D51" i="10"/>
  <c r="D50" i="10"/>
  <c r="D49" i="10"/>
  <c r="D48" i="10"/>
  <c r="D47" i="10"/>
  <c r="D46" i="10"/>
  <c r="D22" i="10"/>
  <c r="D39" i="10"/>
  <c r="I32" i="10" s="1"/>
  <c r="D38" i="10"/>
  <c r="D37" i="10"/>
  <c r="I31" i="10" s="1"/>
  <c r="D36" i="10"/>
  <c r="I30" i="10" s="1"/>
  <c r="K30" i="10" s="1"/>
  <c r="L30" i="10" s="1"/>
  <c r="D35" i="10"/>
  <c r="I29" i="10" s="1"/>
  <c r="D34" i="10"/>
  <c r="I28" i="10" s="1"/>
  <c r="D33" i="10"/>
  <c r="D32" i="10"/>
  <c r="D31" i="10"/>
  <c r="D30" i="10"/>
  <c r="D29" i="10"/>
  <c r="D28" i="10"/>
  <c r="D27" i="10"/>
  <c r="D24" i="10"/>
  <c r="D26" i="10"/>
  <c r="D25" i="10"/>
  <c r="D23" i="10"/>
  <c r="G2" i="10"/>
  <c r="I27" i="8"/>
  <c r="I26" i="8"/>
  <c r="I25" i="8"/>
  <c r="I24" i="8"/>
  <c r="J24" i="8"/>
  <c r="D60" i="10"/>
  <c r="D59" i="10"/>
  <c r="D58" i="10"/>
  <c r="D44" i="10"/>
  <c r="D43" i="10"/>
  <c r="D42" i="10"/>
  <c r="J39" i="10"/>
  <c r="D41" i="10"/>
  <c r="J38" i="10"/>
  <c r="J36" i="10"/>
  <c r="J35" i="10"/>
  <c r="J34" i="10"/>
  <c r="J32" i="10"/>
  <c r="H32" i="10"/>
  <c r="J31" i="10"/>
  <c r="H31" i="10"/>
  <c r="J30" i="10"/>
  <c r="H30" i="10"/>
  <c r="J29" i="10"/>
  <c r="H29" i="10"/>
  <c r="J28" i="10"/>
  <c r="D21" i="10"/>
  <c r="D20" i="10"/>
  <c r="D19" i="10"/>
  <c r="D18" i="10"/>
  <c r="D17" i="10"/>
  <c r="D16" i="10"/>
  <c r="G5" i="10"/>
  <c r="H27" i="8"/>
  <c r="D27" i="8"/>
  <c r="D23" i="8"/>
  <c r="D20" i="8"/>
  <c r="D19" i="8"/>
  <c r="J27" i="8"/>
  <c r="J26" i="8"/>
  <c r="J25" i="8"/>
  <c r="H24" i="8"/>
  <c r="D26" i="8"/>
  <c r="D25" i="8"/>
  <c r="D24" i="8"/>
  <c r="D22" i="8"/>
  <c r="D21" i="8"/>
  <c r="H26" i="8"/>
  <c r="H25" i="8"/>
  <c r="D18" i="8"/>
  <c r="D17" i="8"/>
  <c r="D16" i="8"/>
  <c r="G5" i="8"/>
  <c r="G2" i="8"/>
  <c r="C2" i="8" s="1"/>
  <c r="D9" i="4"/>
  <c r="D8" i="4"/>
  <c r="D7" i="4"/>
  <c r="D6" i="4"/>
  <c r="G6" i="4"/>
  <c r="J42" i="7"/>
  <c r="J41" i="7"/>
  <c r="J40" i="7"/>
  <c r="I42" i="7"/>
  <c r="I41" i="7"/>
  <c r="I40" i="7"/>
  <c r="J38" i="7"/>
  <c r="J37" i="7"/>
  <c r="J36" i="7"/>
  <c r="K36" i="7" s="1"/>
  <c r="L36" i="7" s="1"/>
  <c r="J35" i="7"/>
  <c r="I38" i="7"/>
  <c r="I37" i="7"/>
  <c r="I36" i="7"/>
  <c r="I35" i="7"/>
  <c r="I33" i="7"/>
  <c r="I32" i="7"/>
  <c r="I31" i="7"/>
  <c r="I30" i="7"/>
  <c r="I29" i="7"/>
  <c r="I28" i="7"/>
  <c r="J33" i="7"/>
  <c r="J32" i="7"/>
  <c r="J31" i="7"/>
  <c r="J30" i="7"/>
  <c r="J29" i="7"/>
  <c r="J28" i="7"/>
  <c r="H37" i="5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H28" i="7"/>
  <c r="D29" i="7"/>
  <c r="H29" i="7"/>
  <c r="D30" i="7"/>
  <c r="H30" i="7"/>
  <c r="D31" i="7"/>
  <c r="H31" i="7"/>
  <c r="D32" i="7"/>
  <c r="H32" i="7"/>
  <c r="D33" i="7"/>
  <c r="H33" i="7"/>
  <c r="K28" i="7"/>
  <c r="L28" i="7" s="1"/>
  <c r="K29" i="7"/>
  <c r="L29" i="7" s="1"/>
  <c r="K35" i="7"/>
  <c r="L35" i="7" s="1"/>
  <c r="K30" i="7"/>
  <c r="L30" i="7" s="1"/>
  <c r="K31" i="7"/>
  <c r="L31" i="7" s="1"/>
  <c r="K37" i="7"/>
  <c r="L37" i="7"/>
  <c r="K32" i="7"/>
  <c r="L32" i="7" s="1"/>
  <c r="K38" i="7"/>
  <c r="L38" i="7"/>
  <c r="K40" i="7"/>
  <c r="L40" i="7"/>
  <c r="D41" i="7"/>
  <c r="H35" i="7" s="1"/>
  <c r="D42" i="7"/>
  <c r="H36" i="7" s="1"/>
  <c r="K42" i="7"/>
  <c r="L42" i="7" s="1"/>
  <c r="D43" i="7"/>
  <c r="H37" i="7" s="1"/>
  <c r="D44" i="7"/>
  <c r="H38" i="7" s="1"/>
  <c r="D45" i="7"/>
  <c r="D46" i="7"/>
  <c r="D47" i="7"/>
  <c r="D48" i="7"/>
  <c r="D49" i="7"/>
  <c r="D50" i="7"/>
  <c r="D51" i="7"/>
  <c r="D52" i="7"/>
  <c r="D58" i="7"/>
  <c r="H40" i="7" s="1"/>
  <c r="D59" i="7"/>
  <c r="H41" i="7" s="1"/>
  <c r="D60" i="7"/>
  <c r="H42" i="7" s="1"/>
  <c r="D61" i="7"/>
  <c r="D62" i="7"/>
  <c r="D63" i="7"/>
  <c r="D64" i="7"/>
  <c r="D65" i="7"/>
  <c r="D66" i="7"/>
  <c r="G2" i="7"/>
  <c r="C4" i="7"/>
  <c r="D4" i="7" s="1"/>
  <c r="C5" i="7"/>
  <c r="D5" i="7" s="1"/>
  <c r="G5" i="7"/>
  <c r="C6" i="7"/>
  <c r="D6" i="7"/>
  <c r="G6" i="7"/>
  <c r="C7" i="7"/>
  <c r="D7" i="7"/>
  <c r="C8" i="7"/>
  <c r="D8" i="7"/>
  <c r="C9" i="7"/>
  <c r="D9" i="7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H28" i="6"/>
  <c r="J28" i="6"/>
  <c r="D29" i="6"/>
  <c r="H29" i="6"/>
  <c r="J29" i="6"/>
  <c r="D30" i="6"/>
  <c r="H30" i="6"/>
  <c r="J30" i="6"/>
  <c r="D31" i="6"/>
  <c r="H31" i="6"/>
  <c r="J31" i="6"/>
  <c r="D32" i="6"/>
  <c r="H32" i="6"/>
  <c r="J32" i="6"/>
  <c r="D33" i="6"/>
  <c r="H33" i="6"/>
  <c r="J33" i="6"/>
  <c r="D34" i="6"/>
  <c r="I28" i="6" s="1"/>
  <c r="K28" i="6" s="1"/>
  <c r="L28" i="6" s="1"/>
  <c r="D35" i="6"/>
  <c r="I29" i="6" s="1"/>
  <c r="K29" i="6" s="1"/>
  <c r="L29" i="6" s="1"/>
  <c r="J35" i="6"/>
  <c r="D36" i="6"/>
  <c r="I30" i="6" s="1"/>
  <c r="K30" i="6" s="1"/>
  <c r="L30" i="6" s="1"/>
  <c r="J36" i="6"/>
  <c r="D37" i="6"/>
  <c r="I31" i="6" s="1"/>
  <c r="K31" i="6" s="1"/>
  <c r="L31" i="6" s="1"/>
  <c r="J37" i="6"/>
  <c r="D38" i="6"/>
  <c r="I32" i="6" s="1"/>
  <c r="K32" i="6" s="1"/>
  <c r="L32" i="6" s="1"/>
  <c r="J38" i="6"/>
  <c r="D39" i="6"/>
  <c r="I33" i="6" s="1"/>
  <c r="K33" i="6" s="1"/>
  <c r="L33" i="6" s="1"/>
  <c r="J40" i="6"/>
  <c r="D41" i="6"/>
  <c r="H35" i="6" s="1"/>
  <c r="J41" i="6"/>
  <c r="D42" i="6"/>
  <c r="H36" i="6" s="1"/>
  <c r="J42" i="6"/>
  <c r="D43" i="6"/>
  <c r="H37" i="6" s="1"/>
  <c r="D44" i="6"/>
  <c r="H38" i="6" s="1"/>
  <c r="D45" i="6"/>
  <c r="D46" i="6"/>
  <c r="D47" i="6"/>
  <c r="D48" i="6"/>
  <c r="D49" i="6"/>
  <c r="D50" i="6"/>
  <c r="D51" i="6"/>
  <c r="D52" i="6"/>
  <c r="D53" i="6"/>
  <c r="I35" i="6" s="1"/>
  <c r="K35" i="6" s="1"/>
  <c r="L35" i="6" s="1"/>
  <c r="D54" i="6"/>
  <c r="I36" i="6" s="1"/>
  <c r="K36" i="6" s="1"/>
  <c r="L36" i="6" s="1"/>
  <c r="D55" i="6"/>
  <c r="I37" i="6" s="1"/>
  <c r="K37" i="6" s="1"/>
  <c r="L37" i="6" s="1"/>
  <c r="D56" i="6"/>
  <c r="I38" i="6" s="1"/>
  <c r="K38" i="6" s="1"/>
  <c r="L38" i="6" s="1"/>
  <c r="D58" i="6"/>
  <c r="H40" i="6" s="1"/>
  <c r="D59" i="6"/>
  <c r="H41" i="6" s="1"/>
  <c r="D60" i="6"/>
  <c r="H42" i="6" s="1"/>
  <c r="D61" i="6"/>
  <c r="D62" i="6"/>
  <c r="D63" i="6"/>
  <c r="D64" i="6"/>
  <c r="D65" i="6"/>
  <c r="D66" i="6"/>
  <c r="D67" i="6"/>
  <c r="I40" i="6" s="1"/>
  <c r="K40" i="6" s="1"/>
  <c r="L40" i="6" s="1"/>
  <c r="D68" i="6"/>
  <c r="I41" i="6" s="1"/>
  <c r="K41" i="6" s="1"/>
  <c r="L41" i="6" s="1"/>
  <c r="D69" i="6"/>
  <c r="I42" i="6" s="1"/>
  <c r="K42" i="6" s="1"/>
  <c r="L42" i="6" s="1"/>
  <c r="G2" i="6"/>
  <c r="C2" i="6" s="1"/>
  <c r="C3" i="6"/>
  <c r="D3" i="6"/>
  <c r="C4" i="6"/>
  <c r="D4" i="6"/>
  <c r="C5" i="6"/>
  <c r="D5" i="6"/>
  <c r="G5" i="6"/>
  <c r="C6" i="6"/>
  <c r="D6" i="6"/>
  <c r="G6" i="6"/>
  <c r="C7" i="6"/>
  <c r="D7" i="6"/>
  <c r="C8" i="6"/>
  <c r="D8" i="6"/>
  <c r="C9" i="6"/>
  <c r="D9" i="6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H28" i="5"/>
  <c r="J28" i="5"/>
  <c r="D29" i="5"/>
  <c r="H29" i="5"/>
  <c r="J29" i="5"/>
  <c r="D30" i="5"/>
  <c r="H30" i="5"/>
  <c r="J30" i="5"/>
  <c r="D31" i="5"/>
  <c r="H31" i="5"/>
  <c r="J31" i="5"/>
  <c r="D32" i="5"/>
  <c r="H32" i="5"/>
  <c r="J32" i="5"/>
  <c r="D33" i="5"/>
  <c r="H33" i="5"/>
  <c r="J33" i="5"/>
  <c r="D34" i="5"/>
  <c r="I28" i="5" s="1"/>
  <c r="K28" i="5" s="1"/>
  <c r="L28" i="5" s="1"/>
  <c r="D35" i="5"/>
  <c r="I29" i="5" s="1"/>
  <c r="J35" i="5"/>
  <c r="D36" i="5"/>
  <c r="I30" i="5" s="1"/>
  <c r="K30" i="5" s="1"/>
  <c r="L30" i="5" s="1"/>
  <c r="J36" i="5"/>
  <c r="D37" i="5"/>
  <c r="I31" i="5" s="1"/>
  <c r="K31" i="5" s="1"/>
  <c r="L31" i="5" s="1"/>
  <c r="J37" i="5"/>
  <c r="D38" i="5"/>
  <c r="I32" i="5" s="1"/>
  <c r="K32" i="5" s="1"/>
  <c r="L32" i="5" s="1"/>
  <c r="D39" i="5"/>
  <c r="I33" i="5" s="1"/>
  <c r="K33" i="5" s="1"/>
  <c r="L33" i="5" s="1"/>
  <c r="J39" i="5"/>
  <c r="D41" i="5"/>
  <c r="H35" i="5" s="1"/>
  <c r="J40" i="5"/>
  <c r="D42" i="5"/>
  <c r="H36" i="5" s="1"/>
  <c r="J41" i="5"/>
  <c r="D44" i="5"/>
  <c r="D45" i="5"/>
  <c r="D46" i="5"/>
  <c r="D47" i="5"/>
  <c r="D49" i="5"/>
  <c r="D50" i="5"/>
  <c r="D51" i="5"/>
  <c r="D53" i="5"/>
  <c r="I35" i="5" s="1"/>
  <c r="K35" i="5" s="1"/>
  <c r="L35" i="5" s="1"/>
  <c r="D54" i="5"/>
  <c r="I36" i="5" s="1"/>
  <c r="K36" i="5" s="1"/>
  <c r="L36" i="5" s="1"/>
  <c r="D55" i="5"/>
  <c r="I37" i="5" s="1"/>
  <c r="D56" i="5"/>
  <c r="D58" i="5"/>
  <c r="H39" i="5" s="1"/>
  <c r="D59" i="5"/>
  <c r="H40" i="5" s="1"/>
  <c r="D60" i="5"/>
  <c r="H41" i="5" s="1"/>
  <c r="D61" i="5"/>
  <c r="D62" i="5"/>
  <c r="D63" i="5"/>
  <c r="D64" i="5"/>
  <c r="D65" i="5"/>
  <c r="D66" i="5"/>
  <c r="D67" i="5"/>
  <c r="I39" i="5" s="1"/>
  <c r="D68" i="5"/>
  <c r="I40" i="5" s="1"/>
  <c r="K40" i="5" s="1"/>
  <c r="L40" i="5" s="1"/>
  <c r="D69" i="5"/>
  <c r="I41" i="5" s="1"/>
  <c r="G2" i="5"/>
  <c r="C4" i="5"/>
  <c r="D4" i="5" s="1"/>
  <c r="C5" i="5"/>
  <c r="D5" i="5"/>
  <c r="G5" i="5"/>
  <c r="C6" i="5"/>
  <c r="D6" i="5" s="1"/>
  <c r="G6" i="5"/>
  <c r="C7" i="5"/>
  <c r="D7" i="5" s="1"/>
  <c r="C8" i="5"/>
  <c r="D8" i="5" s="1"/>
  <c r="C9" i="5"/>
  <c r="D9" i="5"/>
  <c r="G2" i="4"/>
  <c r="D4" i="4"/>
  <c r="D5" i="4"/>
  <c r="G5" i="4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H28" i="3"/>
  <c r="J28" i="3"/>
  <c r="D29" i="3"/>
  <c r="H29" i="3"/>
  <c r="J29" i="3"/>
  <c r="D30" i="3"/>
  <c r="H30" i="3"/>
  <c r="J30" i="3"/>
  <c r="D31" i="3"/>
  <c r="H31" i="3"/>
  <c r="J31" i="3"/>
  <c r="D32" i="3"/>
  <c r="H32" i="3"/>
  <c r="J32" i="3"/>
  <c r="D33" i="3"/>
  <c r="H33" i="3"/>
  <c r="J33" i="3"/>
  <c r="D34" i="3"/>
  <c r="I28" i="3" s="1"/>
  <c r="K28" i="3" s="1"/>
  <c r="L28" i="3" s="1"/>
  <c r="D35" i="3"/>
  <c r="I29" i="3" s="1"/>
  <c r="K29" i="3" s="1"/>
  <c r="L29" i="3" s="1"/>
  <c r="J35" i="3"/>
  <c r="D36" i="3"/>
  <c r="I30" i="3" s="1"/>
  <c r="K30" i="3" s="1"/>
  <c r="L30" i="3" s="1"/>
  <c r="J36" i="3"/>
  <c r="D37" i="3"/>
  <c r="I31" i="3" s="1"/>
  <c r="K31" i="3" s="1"/>
  <c r="L31" i="3" s="1"/>
  <c r="J37" i="3"/>
  <c r="D38" i="3"/>
  <c r="I32" i="3" s="1"/>
  <c r="K32" i="3" s="1"/>
  <c r="L32" i="3" s="1"/>
  <c r="J38" i="3"/>
  <c r="D39" i="3"/>
  <c r="I33" i="3" s="1"/>
  <c r="K33" i="3" s="1"/>
  <c r="L33" i="3" s="1"/>
  <c r="J40" i="3"/>
  <c r="D41" i="3"/>
  <c r="H35" i="3" s="1"/>
  <c r="J41" i="3"/>
  <c r="D42" i="3"/>
  <c r="H36" i="3" s="1"/>
  <c r="J42" i="3"/>
  <c r="D43" i="3"/>
  <c r="H37" i="3" s="1"/>
  <c r="D44" i="3"/>
  <c r="H38" i="3" s="1"/>
  <c r="D45" i="3"/>
  <c r="D46" i="3"/>
  <c r="D47" i="3"/>
  <c r="D48" i="3"/>
  <c r="D49" i="3"/>
  <c r="D50" i="3"/>
  <c r="D51" i="3"/>
  <c r="D52" i="3"/>
  <c r="D53" i="3"/>
  <c r="I35" i="3" s="1"/>
  <c r="K35" i="3" s="1"/>
  <c r="L35" i="3" s="1"/>
  <c r="D54" i="3"/>
  <c r="I36" i="3" s="1"/>
  <c r="K36" i="3" s="1"/>
  <c r="L36" i="3" s="1"/>
  <c r="D55" i="3"/>
  <c r="I37" i="3" s="1"/>
  <c r="K37" i="3" s="1"/>
  <c r="L37" i="3" s="1"/>
  <c r="D56" i="3"/>
  <c r="I38" i="3" s="1"/>
  <c r="K38" i="3" s="1"/>
  <c r="L38" i="3" s="1"/>
  <c r="D58" i="3"/>
  <c r="H40" i="3" s="1"/>
  <c r="D59" i="3"/>
  <c r="H41" i="3" s="1"/>
  <c r="D60" i="3"/>
  <c r="H42" i="3" s="1"/>
  <c r="D61" i="3"/>
  <c r="D62" i="3"/>
  <c r="D63" i="3"/>
  <c r="D64" i="3"/>
  <c r="D65" i="3"/>
  <c r="D66" i="3"/>
  <c r="D67" i="3"/>
  <c r="I40" i="3" s="1"/>
  <c r="K40" i="3" s="1"/>
  <c r="L40" i="3" s="1"/>
  <c r="D68" i="3"/>
  <c r="I41" i="3" s="1"/>
  <c r="K41" i="3" s="1"/>
  <c r="L41" i="3" s="1"/>
  <c r="D69" i="3"/>
  <c r="I42" i="3" s="1"/>
  <c r="K42" i="3" s="1"/>
  <c r="L42" i="3" s="1"/>
  <c r="G2" i="3"/>
  <c r="C2" i="3" s="1"/>
  <c r="C3" i="3"/>
  <c r="D3" i="3" s="1"/>
  <c r="C4" i="3"/>
  <c r="D4" i="3" s="1"/>
  <c r="C5" i="3"/>
  <c r="G5" i="3"/>
  <c r="C6" i="3"/>
  <c r="D6" i="3" s="1"/>
  <c r="G6" i="3"/>
  <c r="C7" i="3"/>
  <c r="D7" i="3" s="1"/>
  <c r="C8" i="3"/>
  <c r="D8" i="3" s="1"/>
  <c r="C9" i="3"/>
  <c r="D9" i="3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H28" i="2"/>
  <c r="J28" i="2"/>
  <c r="D29" i="2"/>
  <c r="H29" i="2"/>
  <c r="J29" i="2"/>
  <c r="D30" i="2"/>
  <c r="H30" i="2"/>
  <c r="D31" i="2"/>
  <c r="H31" i="2"/>
  <c r="D32" i="2"/>
  <c r="H32" i="2"/>
  <c r="J32" i="2"/>
  <c r="D33" i="2"/>
  <c r="H33" i="2"/>
  <c r="J33" i="2"/>
  <c r="D34" i="2"/>
  <c r="I28" i="2" s="1"/>
  <c r="K28" i="2" s="1"/>
  <c r="L28" i="2" s="1"/>
  <c r="D35" i="2"/>
  <c r="I29" i="2" s="1"/>
  <c r="L29" i="2" s="1"/>
  <c r="J35" i="2"/>
  <c r="D36" i="2"/>
  <c r="I30" i="2" s="1"/>
  <c r="K30" i="2" s="1"/>
  <c r="L30" i="2" s="1"/>
  <c r="J36" i="2"/>
  <c r="D37" i="2"/>
  <c r="I31" i="2" s="1"/>
  <c r="J37" i="2"/>
  <c r="D38" i="2"/>
  <c r="I32" i="2" s="1"/>
  <c r="K32" i="2" s="1"/>
  <c r="L32" i="2" s="1"/>
  <c r="J38" i="2"/>
  <c r="D39" i="2"/>
  <c r="I33" i="2" s="1"/>
  <c r="K33" i="2" s="1"/>
  <c r="L33" i="2" s="1"/>
  <c r="J40" i="2"/>
  <c r="D41" i="2"/>
  <c r="H35" i="2" s="1"/>
  <c r="J41" i="2"/>
  <c r="D42" i="2"/>
  <c r="H36" i="2" s="1"/>
  <c r="J42" i="2"/>
  <c r="D43" i="2"/>
  <c r="H37" i="2" s="1"/>
  <c r="D44" i="2"/>
  <c r="H38" i="2" s="1"/>
  <c r="D45" i="2"/>
  <c r="D46" i="2"/>
  <c r="D47" i="2"/>
  <c r="D48" i="2"/>
  <c r="D49" i="2"/>
  <c r="D50" i="2"/>
  <c r="D51" i="2"/>
  <c r="D52" i="2"/>
  <c r="D53" i="2"/>
  <c r="I35" i="2" s="1"/>
  <c r="K35" i="2" s="1"/>
  <c r="L35" i="2" s="1"/>
  <c r="D54" i="2"/>
  <c r="I36" i="2" s="1"/>
  <c r="K36" i="2" s="1"/>
  <c r="L36" i="2" s="1"/>
  <c r="D55" i="2"/>
  <c r="I37" i="2" s="1"/>
  <c r="K37" i="2" s="1"/>
  <c r="L37" i="2" s="1"/>
  <c r="D56" i="2"/>
  <c r="I38" i="2" s="1"/>
  <c r="K38" i="2" s="1"/>
  <c r="L38" i="2" s="1"/>
  <c r="D58" i="2"/>
  <c r="H40" i="2" s="1"/>
  <c r="D59" i="2"/>
  <c r="H41" i="2" s="1"/>
  <c r="D60" i="2"/>
  <c r="H42" i="2" s="1"/>
  <c r="D61" i="2"/>
  <c r="D62" i="2"/>
  <c r="D63" i="2"/>
  <c r="D64" i="2"/>
  <c r="D65" i="2"/>
  <c r="D66" i="2"/>
  <c r="D67" i="2"/>
  <c r="I40" i="2" s="1"/>
  <c r="K40" i="2" s="1"/>
  <c r="L40" i="2" s="1"/>
  <c r="D68" i="2"/>
  <c r="I41" i="2" s="1"/>
  <c r="K41" i="2" s="1"/>
  <c r="L41" i="2" s="1"/>
  <c r="D69" i="2"/>
  <c r="I42" i="2" s="1"/>
  <c r="K42" i="2" s="1"/>
  <c r="L42" i="2" s="1"/>
  <c r="G2" i="2"/>
  <c r="C2" i="2" s="1"/>
  <c r="C3" i="2"/>
  <c r="D3" i="2" s="1"/>
  <c r="C4" i="2"/>
  <c r="D4" i="2" s="1"/>
  <c r="C5" i="2"/>
  <c r="D5" i="2" s="1"/>
  <c r="G5" i="2"/>
  <c r="C6" i="2"/>
  <c r="D6" i="2" s="1"/>
  <c r="G6" i="2"/>
  <c r="C7" i="2"/>
  <c r="D7" i="2" s="1"/>
  <c r="C8" i="2"/>
  <c r="D8" i="2" s="1"/>
  <c r="C9" i="2"/>
  <c r="D9" i="2" s="1"/>
  <c r="D48" i="1"/>
  <c r="D45" i="1"/>
  <c r="D29" i="1"/>
  <c r="D28" i="1"/>
  <c r="D22" i="1"/>
  <c r="G2" i="1"/>
  <c r="D3" i="1"/>
  <c r="K28" i="1"/>
  <c r="J28" i="1"/>
  <c r="I28" i="1"/>
  <c r="H28" i="1"/>
  <c r="D4" i="1"/>
  <c r="D5" i="1"/>
  <c r="D6" i="1"/>
  <c r="D7" i="1"/>
  <c r="D8" i="1"/>
  <c r="D9" i="1"/>
  <c r="D69" i="1"/>
  <c r="I42" i="1" s="1"/>
  <c r="D68" i="1"/>
  <c r="I41" i="1" s="1"/>
  <c r="K41" i="1" s="1"/>
  <c r="L41" i="1" s="1"/>
  <c r="D67" i="1"/>
  <c r="I40" i="1" s="1"/>
  <c r="D66" i="1"/>
  <c r="D65" i="1"/>
  <c r="D64" i="1"/>
  <c r="D63" i="1"/>
  <c r="D62" i="1"/>
  <c r="D61" i="1"/>
  <c r="D56" i="1"/>
  <c r="I38" i="1" s="1"/>
  <c r="D55" i="1"/>
  <c r="I37" i="1" s="1"/>
  <c r="K37" i="1" s="1"/>
  <c r="L37" i="1" s="1"/>
  <c r="D54" i="1"/>
  <c r="I36" i="1" s="1"/>
  <c r="K36" i="1" s="1"/>
  <c r="L36" i="1" s="1"/>
  <c r="D53" i="1"/>
  <c r="I35" i="1" s="1"/>
  <c r="K35" i="1" s="1"/>
  <c r="L35" i="1" s="1"/>
  <c r="D52" i="1"/>
  <c r="D51" i="1"/>
  <c r="D50" i="1"/>
  <c r="D49" i="1"/>
  <c r="D47" i="1"/>
  <c r="D46" i="1"/>
  <c r="D39" i="1"/>
  <c r="I33" i="1" s="1"/>
  <c r="D38" i="1"/>
  <c r="I32" i="1" s="1"/>
  <c r="D37" i="1"/>
  <c r="I31" i="1" s="1"/>
  <c r="D36" i="1"/>
  <c r="I30" i="1" s="1"/>
  <c r="D35" i="1"/>
  <c r="I29" i="1" s="1"/>
  <c r="D34" i="1"/>
  <c r="D33" i="1"/>
  <c r="D32" i="1"/>
  <c r="D31" i="1"/>
  <c r="D30" i="1"/>
  <c r="D27" i="1"/>
  <c r="D26" i="1"/>
  <c r="D25" i="1"/>
  <c r="D24" i="1"/>
  <c r="D23" i="1"/>
  <c r="D60" i="1"/>
  <c r="H42" i="1" s="1"/>
  <c r="D59" i="1"/>
  <c r="H41" i="1" s="1"/>
  <c r="D58" i="1"/>
  <c r="D44" i="1"/>
  <c r="D43" i="1"/>
  <c r="D42" i="1"/>
  <c r="D41" i="1"/>
  <c r="C3" i="1"/>
  <c r="G6" i="1"/>
  <c r="J42" i="1"/>
  <c r="J41" i="1"/>
  <c r="J40" i="1"/>
  <c r="H40" i="1"/>
  <c r="J36" i="1"/>
  <c r="J37" i="1"/>
  <c r="J38" i="1"/>
  <c r="J35" i="1"/>
  <c r="H38" i="1"/>
  <c r="H37" i="1"/>
  <c r="H36" i="1"/>
  <c r="H35" i="1"/>
  <c r="H29" i="1"/>
  <c r="J29" i="1"/>
  <c r="J30" i="1"/>
  <c r="J31" i="1"/>
  <c r="J32" i="1"/>
  <c r="J33" i="1"/>
  <c r="H33" i="1"/>
  <c r="H32" i="1"/>
  <c r="H31" i="1"/>
  <c r="H30" i="1"/>
  <c r="D21" i="1"/>
  <c r="D20" i="1"/>
  <c r="D19" i="1"/>
  <c r="D18" i="1"/>
  <c r="D17" i="1"/>
  <c r="D16" i="1"/>
  <c r="K31" i="2" l="1"/>
  <c r="L31" i="2" s="1"/>
  <c r="C4" i="10"/>
  <c r="C5" i="10"/>
  <c r="D5" i="10" s="1"/>
  <c r="C6" i="10"/>
  <c r="D6" i="10" s="1"/>
  <c r="C7" i="10"/>
  <c r="D7" i="10" s="1"/>
  <c r="C8" i="10"/>
  <c r="D8" i="10" s="1"/>
  <c r="C9" i="10"/>
  <c r="D9" i="10" s="1"/>
  <c r="C3" i="10"/>
  <c r="D3" i="10" s="1"/>
  <c r="C2" i="10"/>
  <c r="D4" i="10"/>
  <c r="K28" i="10"/>
  <c r="L28" i="10" s="1"/>
  <c r="K31" i="10"/>
  <c r="L31" i="10" s="1"/>
  <c r="K36" i="10"/>
  <c r="L36" i="10" s="1"/>
  <c r="K39" i="10"/>
  <c r="L39" i="10" s="1"/>
  <c r="K35" i="10"/>
  <c r="L35" i="10" s="1"/>
  <c r="K32" i="10"/>
  <c r="L32" i="10" s="1"/>
  <c r="K29" i="10"/>
  <c r="L29" i="10" s="1"/>
  <c r="K38" i="10"/>
  <c r="L38" i="10" s="1"/>
  <c r="L34" i="10"/>
  <c r="C9" i="8"/>
  <c r="D9" i="8" s="1"/>
  <c r="C8" i="8"/>
  <c r="D8" i="8" s="1"/>
  <c r="C7" i="8"/>
  <c r="D7" i="8" s="1"/>
  <c r="G6" i="8"/>
  <c r="C6" i="8"/>
  <c r="D6" i="8" s="1"/>
  <c r="C5" i="8"/>
  <c r="D5" i="8" s="1"/>
  <c r="C4" i="8"/>
  <c r="D4" i="8" s="1"/>
  <c r="C3" i="8"/>
  <c r="D3" i="8" s="1"/>
  <c r="K41" i="7"/>
  <c r="L41" i="7" s="1"/>
  <c r="C2" i="7"/>
  <c r="C3" i="7"/>
  <c r="D3" i="7" s="1"/>
  <c r="C2" i="4"/>
  <c r="C3" i="4"/>
  <c r="D3" i="4" s="1"/>
  <c r="K39" i="5"/>
  <c r="L39" i="5" s="1"/>
  <c r="K41" i="5"/>
  <c r="L41" i="5" s="1"/>
  <c r="K37" i="5"/>
  <c r="L37" i="5" s="1"/>
  <c r="K29" i="5"/>
  <c r="L29" i="5" s="1"/>
  <c r="C2" i="5"/>
  <c r="C3" i="5"/>
  <c r="D3" i="5" s="1"/>
  <c r="K33" i="7"/>
  <c r="L33" i="7" s="1"/>
  <c r="G5" i="1"/>
  <c r="K42" i="1"/>
  <c r="L42" i="1" s="1"/>
  <c r="K40" i="1"/>
  <c r="L40" i="1" s="1"/>
  <c r="K38" i="1"/>
  <c r="L38" i="1" s="1"/>
  <c r="K29" i="1"/>
  <c r="L29" i="1" s="1"/>
  <c r="K30" i="1"/>
  <c r="L30" i="1" s="1"/>
  <c r="K31" i="1"/>
  <c r="L31" i="1" s="1"/>
  <c r="K32" i="1"/>
  <c r="L32" i="1" s="1"/>
  <c r="K33" i="1"/>
  <c r="L33" i="1" s="1"/>
  <c r="L28" i="1"/>
  <c r="C7" i="1"/>
  <c r="C5" i="1"/>
  <c r="C9" i="1"/>
  <c r="C2" i="1"/>
  <c r="C6" i="1"/>
  <c r="C8" i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4C45B4-AEF2-4311-B41F-6CF84BBB6A5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86E9D6-B5C7-4F79-9E0B-C72F6B027E68}" name="WorksheetConnection_Equity Analysis!$A$1:$H$7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quityAnalysisA1H78"/>
        </x15:connection>
      </ext>
    </extLst>
  </connection>
</connections>
</file>

<file path=xl/sharedStrings.xml><?xml version="1.0" encoding="utf-8"?>
<sst xmlns="http://schemas.openxmlformats.org/spreadsheetml/2006/main" count="1653" uniqueCount="88">
  <si>
    <t>Academic Year</t>
  </si>
  <si>
    <t>Actual</t>
  </si>
  <si>
    <t>Benchmark</t>
  </si>
  <si>
    <t>Variance</t>
  </si>
  <si>
    <t>Target Assumptions</t>
  </si>
  <si>
    <t>Value</t>
  </si>
  <si>
    <t>2022-23 (Baseline)</t>
  </si>
  <si>
    <t>Baseline year</t>
  </si>
  <si>
    <t>Baseline</t>
  </si>
  <si>
    <t>2023-24</t>
  </si>
  <si>
    <t>Final target increase</t>
  </si>
  <si>
    <t>2024-25</t>
  </si>
  <si>
    <t>Years from baseline to target</t>
  </si>
  <si>
    <t>2025-26</t>
  </si>
  <si>
    <t>Annual Target</t>
  </si>
  <si>
    <t>2026-27</t>
  </si>
  <si>
    <t>2027-28</t>
  </si>
  <si>
    <t>2028-29</t>
  </si>
  <si>
    <t>Use Vision 2030 % increase by metric</t>
  </si>
  <si>
    <t>2029-30</t>
  </si>
  <si>
    <t>Assume this methodology for last year's #</t>
  </si>
  <si>
    <t>Keep year interval at 7</t>
  </si>
  <si>
    <t>Demographic Group</t>
  </si>
  <si>
    <t>Actuals</t>
  </si>
  <si>
    <t>Target (same as overall)</t>
  </si>
  <si>
    <t>2022-2023</t>
  </si>
  <si>
    <t>Asian</t>
  </si>
  <si>
    <t>Baseline data</t>
  </si>
  <si>
    <t>Black or African American</t>
  </si>
  <si>
    <t>Latino/Hispanic</t>
  </si>
  <si>
    <t>Multiethnic</t>
  </si>
  <si>
    <t>Unknown/Non-Respondent</t>
  </si>
  <si>
    <t>White</t>
  </si>
  <si>
    <t>2023-2024</t>
  </si>
  <si>
    <t>Equity Results</t>
  </si>
  <si>
    <t>2022-23 Baseline</t>
  </si>
  <si>
    <t>2025-26 Target</t>
  </si>
  <si>
    <t>2025-26 Actual</t>
  </si>
  <si>
    <t>Status</t>
  </si>
  <si>
    <t>Race/Ethnicity</t>
  </si>
  <si>
    <t>2024-2025</t>
  </si>
  <si>
    <t>Black/African American</t>
  </si>
  <si>
    <t>2025-2026</t>
  </si>
  <si>
    <t>Gender</t>
  </si>
  <si>
    <t>Female</t>
  </si>
  <si>
    <t>Male</t>
  </si>
  <si>
    <t>Non-Binary</t>
  </si>
  <si>
    <t>Unknown</t>
  </si>
  <si>
    <t>First Generation College Student Status</t>
  </si>
  <si>
    <t>First Generation Student</t>
  </si>
  <si>
    <t>Not First Generation Student</t>
  </si>
  <si>
    <t>Note:Targets reflect 5% annual growth from the 2022-23 baseline. Variance = Actual − Target.</t>
  </si>
  <si>
    <t>NOTE: Manually updated benchmark numbers to round up</t>
  </si>
  <si>
    <t>Note: Benchmarks are rounded up to the nearest whole number</t>
  </si>
  <si>
    <t>Final target reduction (abs value)</t>
  </si>
  <si>
    <t xml:space="preserve">Final target </t>
  </si>
  <si>
    <r>
      <t xml:space="preserve">Use Vision 2030 % decreased in units </t>
    </r>
    <r>
      <rPr>
        <b/>
        <sz val="11"/>
        <rFont val="Carlito"/>
      </rPr>
      <t>OVER 60</t>
    </r>
  </si>
  <si>
    <t>2024-25 Target</t>
  </si>
  <si>
    <t>2024-25 Actual</t>
  </si>
  <si>
    <t>Campus</t>
  </si>
  <si>
    <t>Transfer Ready</t>
  </si>
  <si>
    <t>Transferred to 4-Year</t>
  </si>
  <si>
    <t>Proportion</t>
  </si>
  <si>
    <t>Transfer Ready, Did Not Transfer</t>
  </si>
  <si>
    <t>Transfer Ready, Transferred</t>
  </si>
  <si>
    <t>2022-23</t>
  </si>
  <si>
    <t>NOCCCD Targets</t>
  </si>
  <si>
    <t>Segment</t>
  </si>
  <si>
    <t>CSU Transfers</t>
  </si>
  <si>
    <t>UC Transfers</t>
  </si>
  <si>
    <t>In-State Private</t>
  </si>
  <si>
    <t>Out-of-State</t>
  </si>
  <si>
    <t>Trends by Segment</t>
  </si>
  <si>
    <t>Metric</t>
  </si>
  <si>
    <t>Category</t>
  </si>
  <si>
    <t>Count of Status</t>
  </si>
  <si>
    <t>Column Labels</t>
  </si>
  <si>
    <t>Associate Degree</t>
  </si>
  <si>
    <t>Not Met</t>
  </si>
  <si>
    <t>Row Labels</t>
  </si>
  <si>
    <t>Met</t>
  </si>
  <si>
    <t>Grand Total</t>
  </si>
  <si>
    <t>Associate Degree for Transfer</t>
  </si>
  <si>
    <t>Credit Certificates</t>
  </si>
  <si>
    <t>Noncredit Certificates</t>
  </si>
  <si>
    <t>Transferred to a 4-Year Institution</t>
  </si>
  <si>
    <t>Sum of Variance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</si>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</sst>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"/>
  </numFmts>
  <fonts count="13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0B4F8A"/>
      <name val="Carlito"/>
    </font>
    <font>
      <i/>
      <sz val="11"/>
      <color rgb="FF555555"/>
      <name val="Carlito"/>
    </font>
    <font>
      <b/>
      <sz val="11"/>
      <name val="Carlito"/>
    </font>
    <font>
      <sz val="11"/>
      <name val="Carlito"/>
    </font>
    <font>
      <sz val="9"/>
      <name val="Carlito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4F8A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3" fontId="0" fillId="0" borderId="0" xfId="0" applyNumberForma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3" fontId="0" fillId="0" borderId="1" xfId="0" applyNumberFormat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3" fontId="0" fillId="0" borderId="3" xfId="0" applyNumberFormat="1" applyBorder="1"/>
    <xf numFmtId="164" fontId="0" fillId="0" borderId="5" xfId="1" applyNumberFormat="1" applyFont="1" applyBorder="1"/>
    <xf numFmtId="0" fontId="8" fillId="0" borderId="0" xfId="0" applyFont="1" applyAlignment="1">
      <alignment vertical="center"/>
    </xf>
    <xf numFmtId="9" fontId="0" fillId="0" borderId="0" xfId="2" applyFont="1"/>
    <xf numFmtId="165" fontId="0" fillId="0" borderId="0" xfId="2" applyNumberFormat="1" applyFont="1"/>
    <xf numFmtId="1" fontId="0" fillId="0" borderId="0" xfId="0" applyNumberFormat="1"/>
    <xf numFmtId="3" fontId="3" fillId="0" borderId="0" xfId="0" applyNumberFormat="1" applyFont="1"/>
    <xf numFmtId="0" fontId="9" fillId="0" borderId="5" xfId="0" applyFont="1" applyBorder="1" applyAlignment="1">
      <alignment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right" vertical="center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right"/>
    </xf>
    <xf numFmtId="164" fontId="11" fillId="0" borderId="5" xfId="1" applyNumberFormat="1" applyFont="1" applyBorder="1" applyAlignment="1">
      <alignment horizontal="right"/>
    </xf>
    <xf numFmtId="164" fontId="11" fillId="0" borderId="5" xfId="1" applyNumberFormat="1" applyFont="1" applyBorder="1" applyAlignment="1">
      <alignment horizontal="right" wrapText="1"/>
    </xf>
    <xf numFmtId="3" fontId="11" fillId="0" borderId="5" xfId="1" applyNumberFormat="1" applyFont="1" applyBorder="1" applyAlignment="1">
      <alignment horizontal="right" wrapText="1"/>
    </xf>
    <xf numFmtId="9" fontId="0" fillId="0" borderId="0" xfId="2" applyFont="1" applyFill="1"/>
    <xf numFmtId="3" fontId="0" fillId="6" borderId="1" xfId="0" applyNumberFormat="1" applyFill="1" applyBorder="1"/>
    <xf numFmtId="3" fontId="0" fillId="7" borderId="0" xfId="0" applyNumberFormat="1" applyFill="1"/>
    <xf numFmtId="0" fontId="10" fillId="5" borderId="6" xfId="0" applyFont="1" applyFill="1" applyBorder="1"/>
    <xf numFmtId="0" fontId="10" fillId="5" borderId="7" xfId="0" applyFont="1" applyFill="1" applyBorder="1"/>
    <xf numFmtId="0" fontId="10" fillId="5" borderId="8" xfId="0" applyFont="1" applyFill="1" applyBorder="1"/>
    <xf numFmtId="164" fontId="0" fillId="0" borderId="0" xfId="1" applyNumberFormat="1" applyFont="1" applyBorder="1"/>
    <xf numFmtId="164" fontId="0" fillId="0" borderId="0" xfId="1" applyNumberFormat="1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164" fontId="11" fillId="0" borderId="0" xfId="1" applyNumberFormat="1" applyFont="1" applyFill="1" applyBorder="1" applyAlignment="1">
      <alignment horizontal="right"/>
    </xf>
    <xf numFmtId="164" fontId="11" fillId="0" borderId="0" xfId="1" applyNumberFormat="1" applyFont="1" applyFill="1" applyBorder="1" applyAlignment="1">
      <alignment horizontal="right" wrapText="1"/>
    </xf>
    <xf numFmtId="3" fontId="11" fillId="0" borderId="0" xfId="1" applyNumberFormat="1" applyFont="1" applyFill="1" applyBorder="1" applyAlignment="1">
      <alignment horizontal="right" wrapText="1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4" fontId="0" fillId="0" borderId="9" xfId="1" applyNumberFormat="1" applyFont="1" applyBorder="1"/>
    <xf numFmtId="0" fontId="0" fillId="0" borderId="5" xfId="0" applyBorder="1"/>
    <xf numFmtId="1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1" fontId="12" fillId="0" borderId="0" xfId="0" applyNumberFormat="1" applyFont="1" applyAlignment="1">
      <alignment horizontal="left"/>
    </xf>
    <xf numFmtId="166" fontId="0" fillId="0" borderId="0" xfId="0" applyNumberFormat="1"/>
    <xf numFmtId="166" fontId="0" fillId="7" borderId="0" xfId="0" applyNumberFormat="1" applyFill="1"/>
    <xf numFmtId="0" fontId="12" fillId="0" borderId="0" xfId="0" applyFont="1"/>
    <xf numFmtId="0" fontId="1" fillId="0" borderId="0" xfId="3"/>
    <xf numFmtId="0" fontId="1" fillId="0" borderId="0" xfId="3" applyAlignment="1">
      <alignment horizontal="left"/>
    </xf>
    <xf numFmtId="3" fontId="1" fillId="0" borderId="0" xfId="3" applyNumberFormat="1" applyAlignment="1">
      <alignment horizontal="left"/>
    </xf>
    <xf numFmtId="0" fontId="1" fillId="0" borderId="0" xfId="3" applyAlignment="1">
      <alignment horizontal="left" vertical="top" wrapText="1"/>
    </xf>
    <xf numFmtId="9" fontId="0" fillId="0" borderId="0" xfId="4" applyFont="1" applyAlignment="1">
      <alignment horizontal="left"/>
    </xf>
    <xf numFmtId="0" fontId="10" fillId="5" borderId="6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5" fillId="4" borderId="0" xfId="0" applyFont="1" applyFill="1" applyAlignment="1">
      <alignment vertical="center" wrapText="1"/>
    </xf>
    <xf numFmtId="0" fontId="4" fillId="3" borderId="0" xfId="0" applyFont="1" applyFill="1" applyAlignment="1"/>
    <xf numFmtId="0" fontId="0" fillId="0" borderId="0" xfId="0" applyAlignment="1"/>
  </cellXfs>
  <cellStyles count="5">
    <cellStyle name="Comma" xfId="1" builtinId="3"/>
    <cellStyle name="Normal" xfId="0" builtinId="0"/>
    <cellStyle name="Normal 2" xfId="3" xr:uid="{93F86E81-843C-4F4D-974B-3B78DFBFDB49}"/>
    <cellStyle name="Percent" xfId="2" builtinId="5"/>
    <cellStyle name="Percent 2" xfId="4" xr:uid="{7257A619-5E6B-4AFD-A223-402D30B194B1}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b val="0"/>
        <i val="0"/>
        <color rgb="FF002060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600"/>
              <a:t>Associate Degrees: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A5F7-4A05-BD4B-CEE093692712}"/>
              </c:ext>
            </c:extLst>
          </c:dPt>
          <c:cat>
            <c:strRef>
              <c:f>AA!$A$2:$A$9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AA!$B$2:$B$9</c:f>
              <c:numCache>
                <c:formatCode>#,##0</c:formatCode>
                <c:ptCount val="8"/>
                <c:pt idx="0">
                  <c:v>1669</c:v>
                </c:pt>
                <c:pt idx="1">
                  <c:v>1731</c:v>
                </c:pt>
                <c:pt idx="2">
                  <c:v>1761</c:v>
                </c:pt>
                <c:pt idx="3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4-4617-844F-7A679CCBDEBD}"/>
            </c:ext>
          </c:extLst>
        </c:ser>
        <c:ser>
          <c:idx val="1"/>
          <c:order val="1"/>
          <c:tx>
            <c:strRef>
              <c:f>AA!$C$1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1-A5F7-4A05-BD4B-CEE093692712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CB-40E0-AD2D-9F5FCC9BB63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3C-4DE2-9323-F9C0D54842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AA!$A$2:$A$9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AA!$C$2:$C$9</c:f>
              <c:numCache>
                <c:formatCode>#,##0</c:formatCode>
                <c:ptCount val="8"/>
                <c:pt idx="0">
                  <c:v>1669</c:v>
                </c:pt>
                <c:pt idx="1">
                  <c:v>1740.5285714285715</c:v>
                </c:pt>
                <c:pt idx="2">
                  <c:v>1812.0571428571427</c:v>
                </c:pt>
                <c:pt idx="3">
                  <c:v>1883.5857142857142</c:v>
                </c:pt>
                <c:pt idx="4">
                  <c:v>1955.1142857142859</c:v>
                </c:pt>
                <c:pt idx="5">
                  <c:v>2026.6428571428569</c:v>
                </c:pt>
                <c:pt idx="6">
                  <c:v>2098.1714285714284</c:v>
                </c:pt>
                <c:pt idx="7">
                  <c:v>2169.7000000000003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04-4617-844F-7A679CCBD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12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AA!$J$26</c:f>
              <c:strCache>
                <c:ptCount val="1"/>
                <c:pt idx="0">
                  <c:v>2025-26 Actual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AA!$G$27:$G$42</c15:sqref>
                  </c15:fullRef>
                </c:ext>
              </c:extLst>
              <c:f>(AA!$G$28:$G$31,AA!$G$33,AA!$G$35:$G$37,AA!$G$40:$G$41)</c:f>
              <c:strCache>
                <c:ptCount val="10"/>
                <c:pt idx="0">
                  <c:v>Asian</c:v>
                </c:pt>
                <c:pt idx="1">
                  <c:v>Black/African American</c:v>
                </c:pt>
                <c:pt idx="2">
                  <c:v>Latino/Hispanic</c:v>
                </c:pt>
                <c:pt idx="3">
                  <c:v>Multiethnic</c:v>
                </c:pt>
                <c:pt idx="4">
                  <c:v>White</c:v>
                </c:pt>
                <c:pt idx="5">
                  <c:v>Female</c:v>
                </c:pt>
                <c:pt idx="6">
                  <c:v>Male</c:v>
                </c:pt>
                <c:pt idx="7">
                  <c:v>Non-Binary</c:v>
                </c:pt>
                <c:pt idx="8">
                  <c:v>First Generation Student</c:v>
                </c:pt>
                <c:pt idx="9">
                  <c:v>Not First Generation Student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AA!$J$27:$J$42</c15:sqref>
                  </c15:fullRef>
                </c:ext>
              </c:extLst>
              <c:f>(AA!$J$28:$J$31,AA!$J$33,AA!$J$35:$J$37,AA!$J$40:$J$41)</c:f>
              <c:numCache>
                <c:formatCode>_(* #,##0_);_(* \(#,##0\);_(* "-"??_);_(@_)</c:formatCode>
                <c:ptCount val="10"/>
                <c:pt idx="0">
                  <c:v>226</c:v>
                </c:pt>
                <c:pt idx="1">
                  <c:v>66</c:v>
                </c:pt>
                <c:pt idx="2">
                  <c:v>1116</c:v>
                </c:pt>
                <c:pt idx="3">
                  <c:v>238</c:v>
                </c:pt>
                <c:pt idx="4">
                  <c:v>302</c:v>
                </c:pt>
                <c:pt idx="5">
                  <c:v>1099</c:v>
                </c:pt>
                <c:pt idx="6">
                  <c:v>776</c:v>
                </c:pt>
                <c:pt idx="7">
                  <c:v>36</c:v>
                </c:pt>
                <c:pt idx="8">
                  <c:v>676</c:v>
                </c:pt>
                <c:pt idx="9">
                  <c:v>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C0-4113-AA41-2BC991BEE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659296"/>
        <c:axId val="418209968"/>
      </c:barChart>
      <c:lineChart>
        <c:grouping val="standard"/>
        <c:varyColors val="0"/>
        <c:ser>
          <c:idx val="0"/>
          <c:order val="0"/>
          <c:tx>
            <c:strRef>
              <c:f>AA!$I$26</c:f>
              <c:strCache>
                <c:ptCount val="1"/>
                <c:pt idx="0">
                  <c:v>2025-26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AA!$G$27:$G$42</c15:sqref>
                  </c15:fullRef>
                </c:ext>
              </c:extLst>
              <c:f>(AA!$G$28:$G$31,AA!$G$33,AA!$G$35:$G$37,AA!$G$40:$G$41)</c:f>
              <c:strCache>
                <c:ptCount val="10"/>
                <c:pt idx="0">
                  <c:v>Asian</c:v>
                </c:pt>
                <c:pt idx="1">
                  <c:v>Black/African American</c:v>
                </c:pt>
                <c:pt idx="2">
                  <c:v>Latino/Hispanic</c:v>
                </c:pt>
                <c:pt idx="3">
                  <c:v>Multiethnic</c:v>
                </c:pt>
                <c:pt idx="4">
                  <c:v>White</c:v>
                </c:pt>
                <c:pt idx="5">
                  <c:v>Female</c:v>
                </c:pt>
                <c:pt idx="6">
                  <c:v>Male</c:v>
                </c:pt>
                <c:pt idx="7">
                  <c:v>Non-Binary</c:v>
                </c:pt>
                <c:pt idx="8">
                  <c:v>First Generation Student</c:v>
                </c:pt>
                <c:pt idx="9">
                  <c:v>Not First Generation Student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AA!$I$27:$I$42</c15:sqref>
                  </c15:fullRef>
                </c:ext>
              </c:extLst>
              <c:f>(AA!$I$28:$I$31,AA!$I$33,AA!$I$35:$I$37,AA!$I$40:$I$41)</c:f>
              <c:numCache>
                <c:formatCode>_(* #,##0_);_(* \(#,##0\);_(* "-"??_);_(@_)</c:formatCode>
                <c:ptCount val="10"/>
                <c:pt idx="0">
                  <c:v>275.37142857142857</c:v>
                </c:pt>
                <c:pt idx="1">
                  <c:v>60.942857142857143</c:v>
                </c:pt>
                <c:pt idx="2">
                  <c:v>1047.3142857142857</c:v>
                </c:pt>
                <c:pt idx="3">
                  <c:v>156.87142857142857</c:v>
                </c:pt>
                <c:pt idx="4">
                  <c:v>283.27142857142854</c:v>
                </c:pt>
                <c:pt idx="5">
                  <c:v>1077.7857142857142</c:v>
                </c:pt>
                <c:pt idx="6">
                  <c:v>709.87142857142851</c:v>
                </c:pt>
                <c:pt idx="7">
                  <c:v>20.314285714285713</c:v>
                </c:pt>
                <c:pt idx="8">
                  <c:v>707.61428571428576</c:v>
                </c:pt>
                <c:pt idx="9">
                  <c:v>1042.8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0-4113-AA41-2BC991BEE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659296"/>
        <c:axId val="418209968"/>
      </c:lineChart>
      <c:catAx>
        <c:axId val="4626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09968"/>
        <c:crosses val="autoZero"/>
        <c:auto val="1"/>
        <c:lblAlgn val="ctr"/>
        <c:lblOffset val="100"/>
        <c:noMultiLvlLbl val="0"/>
      </c:catAx>
      <c:valAx>
        <c:axId val="4182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Associate Degrees for</a:t>
            </a:r>
            <a:r>
              <a:rPr lang="en-US" sz="1600" baseline="0"/>
              <a:t> Transfer</a:t>
            </a:r>
            <a:r>
              <a:rPr lang="en-US" sz="1600"/>
              <a:t>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E21D-4873-95E1-E1EF20EEC31F}"/>
              </c:ext>
            </c:extLst>
          </c:dPt>
          <c:cat>
            <c:strRef>
              <c:f>ADT!$A$2:$A$9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ADT!$B$2:$B$9</c:f>
              <c:numCache>
                <c:formatCode>#,##0</c:formatCode>
                <c:ptCount val="8"/>
                <c:pt idx="0">
                  <c:v>1621</c:v>
                </c:pt>
                <c:pt idx="1">
                  <c:v>1624</c:v>
                </c:pt>
                <c:pt idx="2">
                  <c:v>1723</c:v>
                </c:pt>
                <c:pt idx="3">
                  <c:v>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D-4873-95E1-E1EF20EEC31F}"/>
            </c:ext>
          </c:extLst>
        </c:ser>
        <c:ser>
          <c:idx val="1"/>
          <c:order val="1"/>
          <c:tx>
            <c:strRef>
              <c:f>ADT!$C$1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2-E21D-4873-95E1-E1EF20EEC31F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1D-4873-95E1-E1EF20EEC31F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1D-4873-95E1-E1EF20EEC3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ADT!$A$2:$A$9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ADT!$C$2:$C$9</c:f>
              <c:numCache>
                <c:formatCode>#,##0</c:formatCode>
                <c:ptCount val="8"/>
                <c:pt idx="0">
                  <c:v>1621</c:v>
                </c:pt>
                <c:pt idx="1">
                  <c:v>1690.4714285714288</c:v>
                </c:pt>
                <c:pt idx="2">
                  <c:v>1759.9428571428571</c:v>
                </c:pt>
                <c:pt idx="3">
                  <c:v>1829.4142857142856</c:v>
                </c:pt>
                <c:pt idx="4">
                  <c:v>1898.8857142857144</c:v>
                </c:pt>
                <c:pt idx="5">
                  <c:v>1968.3571428571427</c:v>
                </c:pt>
                <c:pt idx="6">
                  <c:v>2037.8285714285714</c:v>
                </c:pt>
                <c:pt idx="7">
                  <c:v>2107.3000000000002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1D-4873-95E1-E1EF20EEC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12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Credit Certificates: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A189-453D-AAAE-0B446F4B2BED}"/>
              </c:ext>
            </c:extLst>
          </c:dPt>
          <c:cat>
            <c:strRef>
              <c:f>'Credit Cert'!$A$2:$A$9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'Credit Cert'!$B$2:$B$9</c:f>
              <c:numCache>
                <c:formatCode>#,##0</c:formatCode>
                <c:ptCount val="8"/>
                <c:pt idx="0">
                  <c:v>2981</c:v>
                </c:pt>
                <c:pt idx="1">
                  <c:v>3029</c:v>
                </c:pt>
                <c:pt idx="2">
                  <c:v>3154</c:v>
                </c:pt>
                <c:pt idx="3">
                  <c:v>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9-453D-AAAE-0B446F4B2BED}"/>
            </c:ext>
          </c:extLst>
        </c:ser>
        <c:ser>
          <c:idx val="1"/>
          <c:order val="1"/>
          <c:tx>
            <c:strRef>
              <c:f>'Credit Cert'!$C$1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2-A189-453D-AAAE-0B446F4B2BED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89-453D-AAAE-0B446F4B2BED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9-453D-AAAE-0B446F4B2B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Cert'!$A$2:$A$9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'Credit Cert'!$C$2:$C$9</c:f>
              <c:numCache>
                <c:formatCode>#,##0</c:formatCode>
                <c:ptCount val="8"/>
                <c:pt idx="0">
                  <c:v>2981</c:v>
                </c:pt>
                <c:pt idx="1">
                  <c:v>3108.7571428571432</c:v>
                </c:pt>
                <c:pt idx="2">
                  <c:v>3236.5142857142855</c:v>
                </c:pt>
                <c:pt idx="3">
                  <c:v>3364.2714285714287</c:v>
                </c:pt>
                <c:pt idx="4">
                  <c:v>3492.0285714285715</c:v>
                </c:pt>
                <c:pt idx="5">
                  <c:v>3619.7857142857142</c:v>
                </c:pt>
                <c:pt idx="6">
                  <c:v>3747.542857142857</c:v>
                </c:pt>
                <c:pt idx="7">
                  <c:v>3875.3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189-453D-AAAE-0B446F4B2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5000"/>
          <c:min val="20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Noncredit</a:t>
            </a:r>
            <a:r>
              <a:rPr lang="en-US" sz="1600" baseline="0"/>
              <a:t> Certificates</a:t>
            </a:r>
            <a:r>
              <a:rPr lang="en-US" sz="1600"/>
              <a:t>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791C-4FD4-84B6-02C24448C7F0}"/>
              </c:ext>
            </c:extLst>
          </c:dPt>
          <c:cat>
            <c:strRef>
              <c:f>'Noncredit Cert'!$A$2:$A$9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'Noncredit Cert'!$B$2:$B$9</c:f>
              <c:numCache>
                <c:formatCode>#,##0</c:formatCode>
                <c:ptCount val="8"/>
                <c:pt idx="0">
                  <c:v>1004</c:v>
                </c:pt>
                <c:pt idx="1">
                  <c:v>1182</c:v>
                </c:pt>
                <c:pt idx="2">
                  <c:v>1094</c:v>
                </c:pt>
                <c:pt idx="3">
                  <c:v>1286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1C-4FD4-84B6-02C24448C7F0}"/>
            </c:ext>
          </c:extLst>
        </c:ser>
        <c:ser>
          <c:idx val="1"/>
          <c:order val="1"/>
          <c:tx>
            <c:strRef>
              <c:f>'Noncredit Cert'!$C$1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2-791C-4FD4-84B6-02C24448C7F0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1C-4FD4-84B6-02C24448C7F0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1C-4FD4-84B6-02C24448C7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'Noncredit Cert'!$A$2:$A$9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'Noncredit Cert'!$C$2:$C$9</c:f>
              <c:numCache>
                <c:formatCode>#,##0</c:formatCode>
                <c:ptCount val="8"/>
                <c:pt idx="0">
                  <c:v>1004</c:v>
                </c:pt>
                <c:pt idx="1">
                  <c:v>1047.0285714285715</c:v>
                </c:pt>
                <c:pt idx="2">
                  <c:v>1090.0571428571427</c:v>
                </c:pt>
                <c:pt idx="3">
                  <c:v>1133.0857142857142</c:v>
                </c:pt>
                <c:pt idx="4">
                  <c:v>1176.1142857142859</c:v>
                </c:pt>
                <c:pt idx="5">
                  <c:v>1219.1428571428571</c:v>
                </c:pt>
                <c:pt idx="6">
                  <c:v>1262.1714285714286</c:v>
                </c:pt>
                <c:pt idx="7">
                  <c:v>1305.2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91C-4FD4-84B6-02C24448C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00"/>
          <c:min val="5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Baccalaureate Degree: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76C0-440A-8D4D-2DDA089F4302}"/>
              </c:ext>
            </c:extLst>
          </c:dPt>
          <c:cat>
            <c:strRef>
              <c:f>Bach!$A$2:$A$9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Bach!$B$2:$B$9</c:f>
              <c:numCache>
                <c:formatCode>#,##0</c:formatCode>
                <c:ptCount val="8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0-440A-8D4D-2DDA089F4302}"/>
            </c:ext>
          </c:extLst>
        </c:ser>
        <c:ser>
          <c:idx val="1"/>
          <c:order val="1"/>
          <c:tx>
            <c:strRef>
              <c:f>Bach!$C$1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2-76C0-440A-8D4D-2DDA089F4302}"/>
              </c:ext>
            </c:extLst>
          </c:dPt>
          <c:dLbls>
            <c:dLbl>
              <c:idx val="0"/>
              <c:layout>
                <c:manualLayout>
                  <c:x val="-4.3470645981458909E-2"/>
                  <c:y val="-6.2442607897153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C0-440A-8D4D-2DDA089F4302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C0-440A-8D4D-2DDA089F43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Bach!$A$2:$A$9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Bach!$C$2:$C$9</c:f>
              <c:numCache>
                <c:formatCode>#,##0.0</c:formatCode>
                <c:ptCount val="8"/>
                <c:pt idx="0">
                  <c:v>1</c:v>
                </c:pt>
                <c:pt idx="1">
                  <c:v>1.0428571428571429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6C0-440A-8D4D-2DDA089F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Avg</a:t>
            </a:r>
            <a:r>
              <a:rPr lang="en-US" sz="1600" baseline="0"/>
              <a:t> Units Accumulated</a:t>
            </a:r>
            <a:r>
              <a:rPr lang="en-US" sz="1600"/>
              <a:t>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770D-49FD-A7BF-387D28531E90}"/>
              </c:ext>
            </c:extLst>
          </c:dPt>
          <c:cat>
            <c:strRef>
              <c:f>'Units Completed'!$A$2:$A$9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'Units Completed'!$B$2:$B$9</c:f>
              <c:numCache>
                <c:formatCode>#,##0</c:formatCode>
                <c:ptCount val="8"/>
                <c:pt idx="0">
                  <c:v>82.644809312638586</c:v>
                </c:pt>
                <c:pt idx="1">
                  <c:v>83.002614155251138</c:v>
                </c:pt>
                <c:pt idx="2">
                  <c:v>83.475418803418805</c:v>
                </c:pt>
                <c:pt idx="3">
                  <c:v>82.123755037115586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D-49FD-A7BF-387D28531E90}"/>
            </c:ext>
          </c:extLst>
        </c:ser>
        <c:ser>
          <c:idx val="1"/>
          <c:order val="1"/>
          <c:tx>
            <c:strRef>
              <c:f>'Units Completed'!$C$1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2-770D-49FD-A7BF-387D28531E90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0D-49FD-A7BF-387D28531E90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0D-49FD-A7BF-387D28531E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'Units Completed'!$A$2:$A$9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'Units Completed'!$C$2:$C$9</c:f>
              <c:numCache>
                <c:formatCode>#,##0</c:formatCode>
                <c:ptCount val="8"/>
                <c:pt idx="0">
                  <c:v>82.644809312638586</c:v>
                </c:pt>
                <c:pt idx="1">
                  <c:v>81.997814760848911</c:v>
                </c:pt>
                <c:pt idx="2">
                  <c:v>81.350820209059236</c:v>
                </c:pt>
                <c:pt idx="3">
                  <c:v>80.703825657269562</c:v>
                </c:pt>
                <c:pt idx="4">
                  <c:v>80.056831105479887</c:v>
                </c:pt>
                <c:pt idx="5">
                  <c:v>79.409836553690212</c:v>
                </c:pt>
                <c:pt idx="6">
                  <c:v>78.762842001900538</c:v>
                </c:pt>
                <c:pt idx="7">
                  <c:v>78.115847450110863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70D-49FD-A7BF-387D28531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40"/>
          <c:min val="2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  <c:majorUnit val="10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'Units Completed'!$J$26</c:f>
              <c:strCache>
                <c:ptCount val="1"/>
                <c:pt idx="0">
                  <c:v>2025-26 Actual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'Units Completed'!$G$27:$G$39</c15:sqref>
                  </c15:fullRef>
                </c:ext>
              </c:extLst>
              <c:f>('Units Completed'!$G$28:$G$31,'Units Completed'!$G$33,'Units Completed'!$G$35:$G$37)</c:f>
              <c:strCache>
                <c:ptCount val="8"/>
                <c:pt idx="0">
                  <c:v>Asian</c:v>
                </c:pt>
                <c:pt idx="1">
                  <c:v>Black/African American</c:v>
                </c:pt>
                <c:pt idx="2">
                  <c:v>Latino/Hispanic</c:v>
                </c:pt>
                <c:pt idx="3">
                  <c:v>Multiethnic</c:v>
                </c:pt>
                <c:pt idx="4">
                  <c:v>Gender</c:v>
                </c:pt>
                <c:pt idx="5">
                  <c:v>Male</c:v>
                </c:pt>
                <c:pt idx="6">
                  <c:v>Non-Binary</c:v>
                </c:pt>
                <c:pt idx="7">
                  <c:v>First Generation College Student Status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'Units Completed'!$J$27:$J$39</c15:sqref>
                  </c15:fullRef>
                </c:ext>
              </c:extLst>
              <c:f>('Units Completed'!$J$28:$J$31,'Units Completed'!$J$33,'Units Completed'!$J$35:$J$37)</c:f>
              <c:numCache>
                <c:formatCode>_(* #,##0_);_(* \(#,##0\);_(* "-"??_);_(@_)</c:formatCode>
                <c:ptCount val="8"/>
                <c:pt idx="0">
                  <c:v>86.20734519572953</c:v>
                </c:pt>
                <c:pt idx="1">
                  <c:v>83.523255813953483</c:v>
                </c:pt>
                <c:pt idx="2">
                  <c:v>80.321779453345897</c:v>
                </c:pt>
                <c:pt idx="3">
                  <c:v>82.196616504854376</c:v>
                </c:pt>
                <c:pt idx="5">
                  <c:v>82.815647632311979</c:v>
                </c:pt>
                <c:pt idx="6">
                  <c:v>84.914893617021278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4-4FBE-B6B7-615A70954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659296"/>
        <c:axId val="418209968"/>
      </c:barChart>
      <c:lineChart>
        <c:grouping val="standard"/>
        <c:varyColors val="0"/>
        <c:ser>
          <c:idx val="0"/>
          <c:order val="0"/>
          <c:tx>
            <c:strRef>
              <c:f>'Units Completed'!$I$26</c:f>
              <c:strCache>
                <c:ptCount val="1"/>
                <c:pt idx="0">
                  <c:v>2025-26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'Units Completed'!$G$27:$G$39</c15:sqref>
                  </c15:fullRef>
                </c:ext>
              </c:extLst>
              <c:f>('Units Completed'!$G$28:$G$31,'Units Completed'!$G$33,'Units Completed'!$G$35:$G$37)</c:f>
              <c:strCache>
                <c:ptCount val="8"/>
                <c:pt idx="0">
                  <c:v>Asian</c:v>
                </c:pt>
                <c:pt idx="1">
                  <c:v>Black/African American</c:v>
                </c:pt>
                <c:pt idx="2">
                  <c:v>Latino/Hispanic</c:v>
                </c:pt>
                <c:pt idx="3">
                  <c:v>Multiethnic</c:v>
                </c:pt>
                <c:pt idx="4">
                  <c:v>Gender</c:v>
                </c:pt>
                <c:pt idx="5">
                  <c:v>Male</c:v>
                </c:pt>
                <c:pt idx="6">
                  <c:v>Non-Binary</c:v>
                </c:pt>
                <c:pt idx="7">
                  <c:v>First Generation College Student Status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'Units Completed'!$I$27:$I$39</c15:sqref>
                  </c15:fullRef>
                </c:ext>
              </c:extLst>
              <c:f>('Units Completed'!$I$28:$I$31,'Units Completed'!$I$33,'Units Completed'!$I$35:$I$37)</c:f>
              <c:numCache>
                <c:formatCode>_(* #,##0_);_(* \(#,##0\);_(* "-"??_);_(@_)</c:formatCode>
                <c:ptCount val="8"/>
                <c:pt idx="0">
                  <c:v>82.849211509338701</c:v>
                </c:pt>
                <c:pt idx="1">
                  <c:v>80.011243243243243</c:v>
                </c:pt>
                <c:pt idx="2">
                  <c:v>80.465093749999994</c:v>
                </c:pt>
                <c:pt idx="3">
                  <c:v>77.845898101898086</c:v>
                </c:pt>
                <c:pt idx="5">
                  <c:v>80.567890626279151</c:v>
                </c:pt>
                <c:pt idx="6">
                  <c:v>81.409795918367351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4-4FBE-B6B7-615A70954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659296"/>
        <c:axId val="418209968"/>
      </c:lineChart>
      <c:catAx>
        <c:axId val="4626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09968"/>
        <c:crosses val="autoZero"/>
        <c:auto val="1"/>
        <c:lblAlgn val="ctr"/>
        <c:lblOffset val="100"/>
        <c:noMultiLvlLbl val="0"/>
      </c:catAx>
      <c:valAx>
        <c:axId val="4182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Transfer Ready: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23D0-47C6-B120-6B1AE7A77B4E}"/>
              </c:ext>
            </c:extLst>
          </c:dPt>
          <c:cat>
            <c:strRef>
              <c:f>'Xfer Ready'!$A$2:$A$9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'Xfer Ready'!$B$2:$B$9</c:f>
              <c:numCache>
                <c:formatCode>#,##0</c:formatCode>
                <c:ptCount val="8"/>
                <c:pt idx="0">
                  <c:v>5346</c:v>
                </c:pt>
                <c:pt idx="1">
                  <c:v>5561</c:v>
                </c:pt>
                <c:pt idx="2">
                  <c:v>5744</c:v>
                </c:pt>
                <c:pt idx="3">
                  <c:v>5774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D0-47C6-B120-6B1AE7A77B4E}"/>
            </c:ext>
          </c:extLst>
        </c:ser>
        <c:ser>
          <c:idx val="1"/>
          <c:order val="1"/>
          <c:tx>
            <c:strRef>
              <c:f>'Xfer Ready'!$C$1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2-23D0-47C6-B120-6B1AE7A77B4E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D0-47C6-B120-6B1AE7A77B4E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D0-47C6-B120-6B1AE7A77B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'Xfer Ready'!$A$2:$A$9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'Xfer Ready'!$C$2:$C$9</c:f>
              <c:numCache>
                <c:formatCode>#,##0</c:formatCode>
                <c:ptCount val="8"/>
                <c:pt idx="0">
                  <c:v>5346</c:v>
                </c:pt>
                <c:pt idx="1">
                  <c:v>5575.1142857142859</c:v>
                </c:pt>
                <c:pt idx="2">
                  <c:v>5804.2285714285708</c:v>
                </c:pt>
                <c:pt idx="3">
                  <c:v>6033.3428571428567</c:v>
                </c:pt>
                <c:pt idx="4">
                  <c:v>6262.4571428571435</c:v>
                </c:pt>
                <c:pt idx="5">
                  <c:v>6491.5714285714284</c:v>
                </c:pt>
                <c:pt idx="6">
                  <c:v>6720.6857142857143</c:v>
                </c:pt>
                <c:pt idx="7">
                  <c:v>6949.8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3D0-47C6-B120-6B1AE7A77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8000"/>
          <c:min val="40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Transferred to a 4-Year Institution: Progress Toward 2029-30 Benchmark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59A2-4ED1-9493-2BA9762C0D78}"/>
              </c:ext>
            </c:extLst>
          </c:dPt>
          <c:cat>
            <c:strRef>
              <c:f>'Xfer 4-Year'!$A$2:$A$9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'Xfer 4-Year'!$B$2:$B$9</c:f>
              <c:numCache>
                <c:formatCode>#,##0</c:formatCode>
                <c:ptCount val="8"/>
                <c:pt idx="0">
                  <c:v>1962</c:v>
                </c:pt>
                <c:pt idx="1">
                  <c:v>1170</c:v>
                </c:pt>
                <c:pt idx="2">
                  <c:v>1548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A2-4ED1-9493-2BA9762C0D78}"/>
            </c:ext>
          </c:extLst>
        </c:ser>
        <c:ser>
          <c:idx val="1"/>
          <c:order val="1"/>
          <c:tx>
            <c:strRef>
              <c:f>'Xfer 4-Year'!$C$1</c:f>
              <c:strCache>
                <c:ptCount val="1"/>
                <c:pt idx="0">
                  <c:v>Benchmark</c:v>
                </c:pt>
              </c:strCache>
            </c:strRef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3"/>
            <c:marker>
              <c:symbol val="diamond"/>
              <c:size val="8"/>
            </c:marker>
            <c:bubble3D val="0"/>
            <c:extLst>
              <c:ext xmlns:c16="http://schemas.microsoft.com/office/drawing/2014/chart" uri="{C3380CC4-5D6E-409C-BE32-E72D297353CC}">
                <c16:uniqueId val="{00000002-43A8-472B-A07E-1377F89F58B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2-59A2-4ED1-9493-2BA9762C0D78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A2-4ED1-9493-2BA9762C0D78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A2-4ED1-9493-2BA9762C0D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'Xfer 4-Year'!$A$2:$A$9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'Xfer 4-Year'!$C$2:$C$9</c:f>
              <c:numCache>
                <c:formatCode>#,##0</c:formatCode>
                <c:ptCount val="8"/>
                <c:pt idx="0">
                  <c:v>1962</c:v>
                </c:pt>
                <c:pt idx="1">
                  <c:v>2046.0857142857144</c:v>
                </c:pt>
                <c:pt idx="2">
                  <c:v>2130.1714285714284</c:v>
                </c:pt>
                <c:pt idx="3">
                  <c:v>2214.2571428571428</c:v>
                </c:pt>
                <c:pt idx="4">
                  <c:v>2298.3428571428572</c:v>
                </c:pt>
                <c:pt idx="5">
                  <c:v>2382.4285714285711</c:v>
                </c:pt>
                <c:pt idx="6">
                  <c:v>2466.5142857142855</c:v>
                </c:pt>
                <c:pt idx="7">
                  <c:v>2550.6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9A2-4ED1-9493-2BA9762C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3500"/>
          <c:min val="5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Transfer-Ready Students: Transferred vs. Did Not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'Xfer Ready vs Xfer'!$A$9</c:f>
              <c:strCache>
                <c:ptCount val="1"/>
                <c:pt idx="0">
                  <c:v>Transfer Ready, Did Not Transfer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'Xfer Ready vs Xfer'!$B$8:$D$8</c:f>
              <c:strCache>
                <c:ptCount val="3"/>
                <c:pt idx="0">
                  <c:v>2022-2023</c:v>
                </c:pt>
                <c:pt idx="1">
                  <c:v>2023-2024</c:v>
                </c:pt>
                <c:pt idx="2">
                  <c:v>2024-2025</c:v>
                </c:pt>
              </c:strCache>
            </c:strRef>
          </c:cat>
          <c:val>
            <c:numRef>
              <c:f>'Xfer Ready vs Xfer'!$B$9:$D$9</c:f>
              <c:numCache>
                <c:formatCode>#,##0</c:formatCode>
                <c:ptCount val="3"/>
                <c:pt idx="0">
                  <c:v>3384</c:v>
                </c:pt>
                <c:pt idx="1">
                  <c:v>4391</c:v>
                </c:pt>
                <c:pt idx="2">
                  <c:v>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3-4C63-9E93-C579E6F9C139}"/>
            </c:ext>
          </c:extLst>
        </c:ser>
        <c:ser>
          <c:idx val="1"/>
          <c:order val="1"/>
          <c:tx>
            <c:strRef>
              <c:f>'Xfer Ready vs Xfer'!$A$10</c:f>
              <c:strCache>
                <c:ptCount val="1"/>
                <c:pt idx="0">
                  <c:v>Transfer Ready, Transferred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'Xfer Ready vs Xfer'!$B$8:$D$8</c:f>
              <c:strCache>
                <c:ptCount val="3"/>
                <c:pt idx="0">
                  <c:v>2022-2023</c:v>
                </c:pt>
                <c:pt idx="1">
                  <c:v>2023-2024</c:v>
                </c:pt>
                <c:pt idx="2">
                  <c:v>2024-2025</c:v>
                </c:pt>
              </c:strCache>
            </c:strRef>
          </c:cat>
          <c:val>
            <c:numRef>
              <c:f>'Xfer Ready vs Xfer'!$B$10:$D$10</c:f>
              <c:numCache>
                <c:formatCode>#,##0</c:formatCode>
                <c:ptCount val="3"/>
                <c:pt idx="0">
                  <c:v>1962</c:v>
                </c:pt>
                <c:pt idx="1">
                  <c:v>1170</c:v>
                </c:pt>
                <c:pt idx="2">
                  <c:v>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3-4C63-9E93-C579E6F9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50961663"/>
        <c:axId val="515991951"/>
      </c:barChart>
      <c:catAx>
        <c:axId val="175096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91951"/>
        <c:crosses val="autoZero"/>
        <c:auto val="1"/>
        <c:lblAlgn val="ctr"/>
        <c:lblOffset val="100"/>
        <c:noMultiLvlLbl val="0"/>
      </c:catAx>
      <c:valAx>
        <c:axId val="515991951"/>
        <c:scaling>
          <c:orientation val="minMax"/>
          <c:max val="10000"/>
        </c:scaling>
        <c:delete val="1"/>
        <c:axPos val="l"/>
        <c:numFmt formatCode="#,##0" sourceLinked="1"/>
        <c:majorTickMark val="none"/>
        <c:minorTickMark val="none"/>
        <c:tickLblPos val="nextTo"/>
        <c:crossAx val="175096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Race/Ethnicity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'Xfer Ready vs Xfer'!$C$18</c:f>
              <c:strCache>
                <c:ptCount val="1"/>
                <c:pt idx="0">
                  <c:v>Transfer Ready, Did Not Transfer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'Xfer Ready vs Xfer'!$A$19:$B$33</c:f>
              <c:multiLvlStrCache>
                <c:ptCount val="15"/>
                <c:lvl>
                  <c:pt idx="0">
                    <c:v>Asian</c:v>
                  </c:pt>
                  <c:pt idx="3">
                    <c:v>Black or African American</c:v>
                  </c:pt>
                  <c:pt idx="6">
                    <c:v>Latino/Hispanic</c:v>
                  </c:pt>
                  <c:pt idx="9">
                    <c:v>Multiethnic</c:v>
                  </c:pt>
                  <c:pt idx="12">
                    <c:v>White</c:v>
                  </c:pt>
                </c:lvl>
                <c:lvl>
                  <c:pt idx="0">
                    <c:v>2022-23</c:v>
                  </c:pt>
                  <c:pt idx="1">
                    <c:v>2023-24</c:v>
                  </c:pt>
                  <c:pt idx="2">
                    <c:v>2024-25</c:v>
                  </c:pt>
                  <c:pt idx="3">
                    <c:v>2022-23</c:v>
                  </c:pt>
                  <c:pt idx="4">
                    <c:v>2023-24</c:v>
                  </c:pt>
                  <c:pt idx="5">
                    <c:v>2024-25</c:v>
                  </c:pt>
                  <c:pt idx="6">
                    <c:v>2022-23</c:v>
                  </c:pt>
                  <c:pt idx="7">
                    <c:v>2023-24</c:v>
                  </c:pt>
                  <c:pt idx="8">
                    <c:v>2024-25</c:v>
                  </c:pt>
                  <c:pt idx="9">
                    <c:v>2022-23</c:v>
                  </c:pt>
                  <c:pt idx="10">
                    <c:v>2023-24</c:v>
                  </c:pt>
                  <c:pt idx="11">
                    <c:v>2024-25</c:v>
                  </c:pt>
                  <c:pt idx="12">
                    <c:v>2022-23</c:v>
                  </c:pt>
                  <c:pt idx="13">
                    <c:v>2023-24</c:v>
                  </c:pt>
                  <c:pt idx="14">
                    <c:v>2024-25</c:v>
                  </c:pt>
                </c:lvl>
              </c:multiLvlStrCache>
            </c:multiLvlStrRef>
          </c:cat>
          <c:val>
            <c:numRef>
              <c:f>'Xfer Ready vs Xfer'!$C$19:$C$33</c:f>
              <c:numCache>
                <c:formatCode>General</c:formatCode>
                <c:ptCount val="15"/>
                <c:pt idx="0">
                  <c:v>598</c:v>
                </c:pt>
                <c:pt idx="1">
                  <c:v>821</c:v>
                </c:pt>
                <c:pt idx="2">
                  <c:v>704</c:v>
                </c:pt>
                <c:pt idx="3">
                  <c:v>41</c:v>
                </c:pt>
                <c:pt idx="4">
                  <c:v>90</c:v>
                </c:pt>
                <c:pt idx="5">
                  <c:v>61</c:v>
                </c:pt>
                <c:pt idx="6">
                  <c:v>1880</c:v>
                </c:pt>
                <c:pt idx="7">
                  <c:v>2400</c:v>
                </c:pt>
                <c:pt idx="8">
                  <c:v>2294</c:v>
                </c:pt>
                <c:pt idx="9">
                  <c:v>360</c:v>
                </c:pt>
                <c:pt idx="10">
                  <c:v>469</c:v>
                </c:pt>
                <c:pt idx="11">
                  <c:v>565</c:v>
                </c:pt>
                <c:pt idx="12">
                  <c:v>422</c:v>
                </c:pt>
                <c:pt idx="13">
                  <c:v>536</c:v>
                </c:pt>
                <c:pt idx="14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1-4693-B196-9774EB6CCB49}"/>
            </c:ext>
          </c:extLst>
        </c:ser>
        <c:ser>
          <c:idx val="1"/>
          <c:order val="1"/>
          <c:tx>
            <c:strRef>
              <c:f>'Xfer Ready vs Xfer'!$D$18</c:f>
              <c:strCache>
                <c:ptCount val="1"/>
                <c:pt idx="0">
                  <c:v>Transfer Ready, Transferred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'Xfer Ready vs Xfer'!$A$19:$B$33</c:f>
              <c:multiLvlStrCache>
                <c:ptCount val="15"/>
                <c:lvl>
                  <c:pt idx="0">
                    <c:v>Asian</c:v>
                  </c:pt>
                  <c:pt idx="3">
                    <c:v>Black or African American</c:v>
                  </c:pt>
                  <c:pt idx="6">
                    <c:v>Latino/Hispanic</c:v>
                  </c:pt>
                  <c:pt idx="9">
                    <c:v>Multiethnic</c:v>
                  </c:pt>
                  <c:pt idx="12">
                    <c:v>White</c:v>
                  </c:pt>
                </c:lvl>
                <c:lvl>
                  <c:pt idx="0">
                    <c:v>2022-23</c:v>
                  </c:pt>
                  <c:pt idx="1">
                    <c:v>2023-24</c:v>
                  </c:pt>
                  <c:pt idx="2">
                    <c:v>2024-25</c:v>
                  </c:pt>
                  <c:pt idx="3">
                    <c:v>2022-23</c:v>
                  </c:pt>
                  <c:pt idx="4">
                    <c:v>2023-24</c:v>
                  </c:pt>
                  <c:pt idx="5">
                    <c:v>2024-25</c:v>
                  </c:pt>
                  <c:pt idx="6">
                    <c:v>2022-23</c:v>
                  </c:pt>
                  <c:pt idx="7">
                    <c:v>2023-24</c:v>
                  </c:pt>
                  <c:pt idx="8">
                    <c:v>2024-25</c:v>
                  </c:pt>
                  <c:pt idx="9">
                    <c:v>2022-23</c:v>
                  </c:pt>
                  <c:pt idx="10">
                    <c:v>2023-24</c:v>
                  </c:pt>
                  <c:pt idx="11">
                    <c:v>2024-25</c:v>
                  </c:pt>
                  <c:pt idx="12">
                    <c:v>2022-23</c:v>
                  </c:pt>
                  <c:pt idx="13">
                    <c:v>2023-24</c:v>
                  </c:pt>
                  <c:pt idx="14">
                    <c:v>2024-25</c:v>
                  </c:pt>
                </c:lvl>
              </c:multiLvlStrCache>
            </c:multiLvlStrRef>
          </c:cat>
          <c:val>
            <c:numRef>
              <c:f>'Xfer Ready vs Xfer'!$D$19:$D$33</c:f>
              <c:numCache>
                <c:formatCode>General</c:formatCode>
                <c:ptCount val="15"/>
                <c:pt idx="0">
                  <c:v>431</c:v>
                </c:pt>
                <c:pt idx="1">
                  <c:v>241</c:v>
                </c:pt>
                <c:pt idx="2">
                  <c:v>323</c:v>
                </c:pt>
                <c:pt idx="3">
                  <c:v>63</c:v>
                </c:pt>
                <c:pt idx="4">
                  <c:v>29</c:v>
                </c:pt>
                <c:pt idx="5">
                  <c:v>41</c:v>
                </c:pt>
                <c:pt idx="6">
                  <c:v>899</c:v>
                </c:pt>
                <c:pt idx="7">
                  <c:v>546</c:v>
                </c:pt>
                <c:pt idx="8">
                  <c:v>763</c:v>
                </c:pt>
                <c:pt idx="9">
                  <c:v>170</c:v>
                </c:pt>
                <c:pt idx="10">
                  <c:v>134</c:v>
                </c:pt>
                <c:pt idx="11">
                  <c:v>171</c:v>
                </c:pt>
                <c:pt idx="12">
                  <c:v>331</c:v>
                </c:pt>
                <c:pt idx="13">
                  <c:v>189</c:v>
                </c:pt>
                <c:pt idx="1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1-4693-B196-9774EB6CC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73107887"/>
        <c:axId val="653029071"/>
      </c:barChart>
      <c:catAx>
        <c:axId val="67310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29071"/>
        <c:crosses val="autoZero"/>
        <c:auto val="0"/>
        <c:lblAlgn val="ctr"/>
        <c:lblOffset val="100"/>
        <c:noMultiLvlLbl val="0"/>
      </c:catAx>
      <c:valAx>
        <c:axId val="653029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310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'Xfer Ready vs Xfer'!$C$51</c:f>
              <c:strCache>
                <c:ptCount val="1"/>
                <c:pt idx="0">
                  <c:v>Transfer Ready, Did Not Transfer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2.7777777777777779E-3"/>
                  <c:y val="3.70370370370369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24-46CF-AFAB-0A17222CE338}"/>
                </c:ext>
              </c:extLst>
            </c:dLbl>
            <c:dLbl>
              <c:idx val="7"/>
              <c:layout>
                <c:manualLayout>
                  <c:x val="-5.5555555555555558E-3"/>
                  <c:y val="1.85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24-46CF-AFAB-0A17222CE338}"/>
                </c:ext>
              </c:extLst>
            </c:dLbl>
            <c:dLbl>
              <c:idx val="8"/>
              <c:layout>
                <c:manualLayout>
                  <c:x val="-2.0370135052831988E-16"/>
                  <c:y val="4.629629629629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24-46CF-AFAB-0A17222CE3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'Xfer Ready vs Xfer'!$A$52:$B$60</c:f>
              <c:multiLvlStrCache>
                <c:ptCount val="9"/>
                <c:lvl>
                  <c:pt idx="1">
                    <c:v>Female</c:v>
                  </c:pt>
                  <c:pt idx="4">
                    <c:v>Male</c:v>
                  </c:pt>
                  <c:pt idx="7">
                    <c:v>Non-Binary</c:v>
                  </c:pt>
                </c:lvl>
                <c:lvl>
                  <c:pt idx="0">
                    <c:v>2022-23</c:v>
                  </c:pt>
                  <c:pt idx="1">
                    <c:v>2023-24</c:v>
                  </c:pt>
                  <c:pt idx="2">
                    <c:v>2024-25</c:v>
                  </c:pt>
                  <c:pt idx="3">
                    <c:v>2022-23</c:v>
                  </c:pt>
                  <c:pt idx="4">
                    <c:v>2023-24</c:v>
                  </c:pt>
                  <c:pt idx="5">
                    <c:v>2024-25</c:v>
                  </c:pt>
                  <c:pt idx="6">
                    <c:v>2022-23</c:v>
                  </c:pt>
                  <c:pt idx="7">
                    <c:v>2023-24</c:v>
                  </c:pt>
                  <c:pt idx="8">
                    <c:v>2024-25</c:v>
                  </c:pt>
                </c:lvl>
              </c:multiLvlStrCache>
            </c:multiLvlStrRef>
          </c:cat>
          <c:val>
            <c:numRef>
              <c:f>'Xfer Ready vs Xfer'!$C$52:$C$60</c:f>
              <c:numCache>
                <c:formatCode>General</c:formatCode>
                <c:ptCount val="9"/>
                <c:pt idx="0">
                  <c:v>1639</c:v>
                </c:pt>
                <c:pt idx="1">
                  <c:v>2139</c:v>
                </c:pt>
                <c:pt idx="2">
                  <c:v>2037</c:v>
                </c:pt>
                <c:pt idx="3">
                  <c:v>1555</c:v>
                </c:pt>
                <c:pt idx="4">
                  <c:v>2019</c:v>
                </c:pt>
                <c:pt idx="5">
                  <c:v>1916</c:v>
                </c:pt>
                <c:pt idx="6">
                  <c:v>44</c:v>
                </c:pt>
                <c:pt idx="7">
                  <c:v>71</c:v>
                </c:pt>
                <c:pt idx="8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24-46CF-AFAB-0A17222CE338}"/>
            </c:ext>
          </c:extLst>
        </c:ser>
        <c:ser>
          <c:idx val="1"/>
          <c:order val="1"/>
          <c:tx>
            <c:strRef>
              <c:f>'Xfer Ready vs Xfer'!$D$51</c:f>
              <c:strCache>
                <c:ptCount val="1"/>
                <c:pt idx="0">
                  <c:v>Transfer Ready, Transferred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-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24-46CF-AFAB-0A17222CE338}"/>
                </c:ext>
              </c:extLst>
            </c:dLbl>
            <c:dLbl>
              <c:idx val="7"/>
              <c:layout>
                <c:manualLayout>
                  <c:x val="0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24-46CF-AFAB-0A17222CE338}"/>
                </c:ext>
              </c:extLst>
            </c:dLbl>
            <c:dLbl>
              <c:idx val="8"/>
              <c:layout>
                <c:manualLayout>
                  <c:x val="-2.0370135052831988E-16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24-46CF-AFAB-0A17222CE3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'Xfer Ready vs Xfer'!$A$52:$B$60</c:f>
              <c:multiLvlStrCache>
                <c:ptCount val="9"/>
                <c:lvl>
                  <c:pt idx="1">
                    <c:v>Female</c:v>
                  </c:pt>
                  <c:pt idx="4">
                    <c:v>Male</c:v>
                  </c:pt>
                  <c:pt idx="7">
                    <c:v>Non-Binary</c:v>
                  </c:pt>
                </c:lvl>
                <c:lvl>
                  <c:pt idx="0">
                    <c:v>2022-23</c:v>
                  </c:pt>
                  <c:pt idx="1">
                    <c:v>2023-24</c:v>
                  </c:pt>
                  <c:pt idx="2">
                    <c:v>2024-25</c:v>
                  </c:pt>
                  <c:pt idx="3">
                    <c:v>2022-23</c:v>
                  </c:pt>
                  <c:pt idx="4">
                    <c:v>2023-24</c:v>
                  </c:pt>
                  <c:pt idx="5">
                    <c:v>2024-25</c:v>
                  </c:pt>
                  <c:pt idx="6">
                    <c:v>2022-23</c:v>
                  </c:pt>
                  <c:pt idx="7">
                    <c:v>2023-24</c:v>
                  </c:pt>
                  <c:pt idx="8">
                    <c:v>2024-25</c:v>
                  </c:pt>
                </c:lvl>
              </c:multiLvlStrCache>
            </c:multiLvlStrRef>
          </c:cat>
          <c:val>
            <c:numRef>
              <c:f>'Xfer Ready vs Xfer'!$D$52:$D$60</c:f>
              <c:numCache>
                <c:formatCode>General</c:formatCode>
                <c:ptCount val="9"/>
                <c:pt idx="0">
                  <c:v>1054</c:v>
                </c:pt>
                <c:pt idx="1">
                  <c:v>599</c:v>
                </c:pt>
                <c:pt idx="2">
                  <c:v>822</c:v>
                </c:pt>
                <c:pt idx="3">
                  <c:v>832</c:v>
                </c:pt>
                <c:pt idx="4">
                  <c:v>513</c:v>
                </c:pt>
                <c:pt idx="5">
                  <c:v>657</c:v>
                </c:pt>
                <c:pt idx="6">
                  <c:v>19</c:v>
                </c:pt>
                <c:pt idx="7">
                  <c:v>19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24-46CF-AFAB-0A17222C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61167551"/>
        <c:axId val="653060271"/>
      </c:barChart>
      <c:catAx>
        <c:axId val="66116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60271"/>
        <c:crosses val="autoZero"/>
        <c:auto val="1"/>
        <c:lblAlgn val="ctr"/>
        <c:lblOffset val="100"/>
        <c:noMultiLvlLbl val="0"/>
      </c:catAx>
      <c:valAx>
        <c:axId val="653060271"/>
        <c:scaling>
          <c:orientation val="minMax"/>
          <c:max val="3000"/>
        </c:scaling>
        <c:delete val="1"/>
        <c:axPos val="l"/>
        <c:numFmt formatCode="General" sourceLinked="1"/>
        <c:majorTickMark val="none"/>
        <c:minorTickMark val="none"/>
        <c:tickLblPos val="nextTo"/>
        <c:crossAx val="66116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</a:t>
            </a:r>
            <a:r>
              <a:rPr lang="en-US" baseline="0"/>
              <a:t> Generation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'Xfer Ready vs Xfer'!$C$68</c:f>
              <c:strCache>
                <c:ptCount val="1"/>
                <c:pt idx="0">
                  <c:v>Transfer Ready, Did Not Transfer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'Xfer Ready vs Xfer'!$A$69:$B$74</c:f>
              <c:multiLvlStrCache>
                <c:ptCount val="6"/>
                <c:lvl>
                  <c:pt idx="1">
                    <c:v>First Generation Student</c:v>
                  </c:pt>
                  <c:pt idx="4">
                    <c:v>Not First Generation Student</c:v>
                  </c:pt>
                </c:lvl>
                <c:lvl>
                  <c:pt idx="0">
                    <c:v>2022-23</c:v>
                  </c:pt>
                  <c:pt idx="1">
                    <c:v>2023-24</c:v>
                  </c:pt>
                  <c:pt idx="2">
                    <c:v>2024-25</c:v>
                  </c:pt>
                  <c:pt idx="3">
                    <c:v>2022-23</c:v>
                  </c:pt>
                  <c:pt idx="4">
                    <c:v>2023-24</c:v>
                  </c:pt>
                  <c:pt idx="5">
                    <c:v>2024-25</c:v>
                  </c:pt>
                </c:lvl>
              </c:multiLvlStrCache>
            </c:multiLvlStrRef>
          </c:cat>
          <c:val>
            <c:numRef>
              <c:f>'Xfer Ready vs Xfer'!$C$69:$C$74</c:f>
              <c:numCache>
                <c:formatCode>General</c:formatCode>
                <c:ptCount val="6"/>
                <c:pt idx="0">
                  <c:v>1243</c:v>
                </c:pt>
                <c:pt idx="1">
                  <c:v>1539</c:v>
                </c:pt>
                <c:pt idx="2">
                  <c:v>1418</c:v>
                </c:pt>
                <c:pt idx="3">
                  <c:v>1864</c:v>
                </c:pt>
                <c:pt idx="4">
                  <c:v>2553</c:v>
                </c:pt>
                <c:pt idx="5">
                  <c:v>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E-4B92-B06C-4B0C5628B852}"/>
            </c:ext>
          </c:extLst>
        </c:ser>
        <c:ser>
          <c:idx val="1"/>
          <c:order val="1"/>
          <c:tx>
            <c:strRef>
              <c:f>'Xfer Ready vs Xfer'!$D$68</c:f>
              <c:strCache>
                <c:ptCount val="1"/>
                <c:pt idx="0">
                  <c:v>Transfer Ready, Transferred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'Xfer Ready vs Xfer'!$A$69:$B$74</c:f>
              <c:multiLvlStrCache>
                <c:ptCount val="6"/>
                <c:lvl>
                  <c:pt idx="1">
                    <c:v>First Generation Student</c:v>
                  </c:pt>
                  <c:pt idx="4">
                    <c:v>Not First Generation Student</c:v>
                  </c:pt>
                </c:lvl>
                <c:lvl>
                  <c:pt idx="0">
                    <c:v>2022-23</c:v>
                  </c:pt>
                  <c:pt idx="1">
                    <c:v>2023-24</c:v>
                  </c:pt>
                  <c:pt idx="2">
                    <c:v>2024-25</c:v>
                  </c:pt>
                  <c:pt idx="3">
                    <c:v>2022-23</c:v>
                  </c:pt>
                  <c:pt idx="4">
                    <c:v>2023-24</c:v>
                  </c:pt>
                  <c:pt idx="5">
                    <c:v>2024-25</c:v>
                  </c:pt>
                </c:lvl>
              </c:multiLvlStrCache>
            </c:multiLvlStrRef>
          </c:cat>
          <c:val>
            <c:numRef>
              <c:f>'Xfer Ready vs Xfer'!$D$69:$D$74</c:f>
              <c:numCache>
                <c:formatCode>General</c:formatCode>
                <c:ptCount val="6"/>
                <c:pt idx="0">
                  <c:v>585</c:v>
                </c:pt>
                <c:pt idx="1">
                  <c:v>305</c:v>
                </c:pt>
                <c:pt idx="2">
                  <c:v>457</c:v>
                </c:pt>
                <c:pt idx="3">
                  <c:v>1296</c:v>
                </c:pt>
                <c:pt idx="4">
                  <c:v>783</c:v>
                </c:pt>
                <c:pt idx="5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E-4B92-B06C-4B0C5628B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919431295"/>
        <c:axId val="882130063"/>
      </c:barChart>
      <c:catAx>
        <c:axId val="91943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130063"/>
        <c:crosses val="autoZero"/>
        <c:auto val="1"/>
        <c:lblAlgn val="ctr"/>
        <c:lblOffset val="100"/>
        <c:noMultiLvlLbl val="0"/>
      </c:catAx>
      <c:valAx>
        <c:axId val="8821300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943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Transferred to a 4-Year Institution: Progress Toward 2029-30 Target</a:t>
            </a:r>
          </a:p>
        </c:rich>
      </c:tx>
      <c:layout>
        <c:manualLayout>
          <c:xMode val="edge"/>
          <c:yMode val="edge"/>
          <c:x val="0.11019020770551829"/>
          <c:y val="1.46923783287419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9322769838955309E-2"/>
          <c:y val="0.13628106404054866"/>
          <c:w val="0.8980434853050776"/>
          <c:h val="0.6832430243740194"/>
        </c:manualLayout>
      </c:layout>
      <c:lineChart>
        <c:grouping val="standard"/>
        <c:varyColors val="1"/>
        <c:ser>
          <c:idx val="0"/>
          <c:order val="0"/>
          <c:tx>
            <c:v>Actual</c:v>
          </c:tx>
          <c:spPr>
            <a:ln>
              <a:solidFill>
                <a:srgbClr val="002060"/>
              </a:solidFill>
            </a:ln>
          </c:spPr>
          <c:marker>
            <c:symbol val="square"/>
            <c:size val="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dPt>
            <c:idx val="3"/>
            <c:marker>
              <c:symbol val="squar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0-7970-4C36-A2F5-67165464BC3D}"/>
              </c:ext>
            </c:extLst>
          </c:dPt>
          <c:cat>
            <c:strRef>
              <c:f>'Xfer 4-Year (CCCCO)'!$A$2:$A$9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'Xfer 4-Year (CCCCO)'!$B$2:$B$9</c:f>
              <c:numCache>
                <c:formatCode>#,##0</c:formatCode>
                <c:ptCount val="8"/>
                <c:pt idx="0">
                  <c:v>3657</c:v>
                </c:pt>
                <c:pt idx="1">
                  <c:v>3373</c:v>
                </c:pt>
                <c:pt idx="2">
                  <c:v>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0-4C36-A2F5-67165464BC3D}"/>
            </c:ext>
          </c:extLst>
        </c:ser>
        <c:ser>
          <c:idx val="1"/>
          <c:order val="1"/>
          <c:tx>
            <c:v>Target</c:v>
          </c:tx>
          <c:spPr>
            <a:ln>
              <a:solidFill>
                <a:srgbClr val="FFC000"/>
              </a:solidFill>
              <a:prstDash val="sysDash"/>
            </a:ln>
          </c:spPr>
          <c:marker>
            <c:symbol val="diamond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Pt>
            <c:idx val="4"/>
            <c:marker>
              <c:symbol val="diamond"/>
              <c:size val="9"/>
            </c:marker>
            <c:bubble3D val="0"/>
            <c:extLst>
              <c:ext xmlns:c16="http://schemas.microsoft.com/office/drawing/2014/chart" uri="{C3380CC4-5D6E-409C-BE32-E72D297353CC}">
                <c16:uniqueId val="{00000002-7970-4C36-A2F5-67165464BC3D}"/>
              </c:ext>
            </c:extLst>
          </c:dPt>
          <c:dLbls>
            <c:dLbl>
              <c:idx val="0"/>
              <c:layout>
                <c:manualLayout>
                  <c:x val="-2.4691358024691357E-2"/>
                  <c:y val="5.5096418732782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70-4C36-A2F5-67165464BC3D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70-4C36-A2F5-67165464BC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'Xfer 4-Year (CCCCO)'!$A$2:$A$9</c:f>
              <c:strCache>
                <c:ptCount val="8"/>
                <c:pt idx="0">
                  <c:v>2022-23 (Baseline)</c:v>
                </c:pt>
                <c:pt idx="1">
                  <c:v>2023-24</c:v>
                </c:pt>
                <c:pt idx="2">
                  <c:v>2024-25</c:v>
                </c:pt>
                <c:pt idx="3">
                  <c:v>2025-26</c:v>
                </c:pt>
                <c:pt idx="4">
                  <c:v>2026-27</c:v>
                </c:pt>
                <c:pt idx="5">
                  <c:v>2027-28</c:v>
                </c:pt>
                <c:pt idx="6">
                  <c:v>2028-29</c:v>
                </c:pt>
                <c:pt idx="7">
                  <c:v>2029-30</c:v>
                </c:pt>
              </c:strCache>
            </c:strRef>
          </c:cat>
          <c:val>
            <c:numRef>
              <c:f>'Xfer 4-Year (CCCCO)'!$C$2:$C$9</c:f>
              <c:numCache>
                <c:formatCode>#,##0</c:formatCode>
                <c:ptCount val="8"/>
                <c:pt idx="0">
                  <c:v>3657</c:v>
                </c:pt>
                <c:pt idx="1">
                  <c:v>3813.7285714285717</c:v>
                </c:pt>
                <c:pt idx="2">
                  <c:v>3970.4571428571426</c:v>
                </c:pt>
                <c:pt idx="3">
                  <c:v>4127.1857142857143</c:v>
                </c:pt>
                <c:pt idx="4">
                  <c:v>4283.9142857142861</c:v>
                </c:pt>
                <c:pt idx="5">
                  <c:v>4440.6428571428569</c:v>
                </c:pt>
                <c:pt idx="6">
                  <c:v>4597.3714285714286</c:v>
                </c:pt>
                <c:pt idx="7">
                  <c:v>4754.1000000000004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970-4C36-A2F5-67165464B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5000"/>
          <c:min val="25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Transfers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'Xfer 4-Year (CCCCO)'!$H$23</c:f>
              <c:strCache>
                <c:ptCount val="1"/>
                <c:pt idx="0">
                  <c:v>2022-23 (Baseline)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'Xfer 4-Year (CCCCO)'!$G$24:$G$27</c:f>
              <c:strCache>
                <c:ptCount val="4"/>
                <c:pt idx="0">
                  <c:v>CSU Transfers</c:v>
                </c:pt>
                <c:pt idx="1">
                  <c:v>UC Transfers</c:v>
                </c:pt>
                <c:pt idx="2">
                  <c:v>In-State Private</c:v>
                </c:pt>
                <c:pt idx="3">
                  <c:v>Out-of-State</c:v>
                </c:pt>
              </c:strCache>
            </c:strRef>
          </c:cat>
          <c:val>
            <c:numRef>
              <c:f>'Xfer 4-Year (CCCCO)'!$H$24:$H$27</c:f>
              <c:numCache>
                <c:formatCode>_(* #,##0_);_(* \(#,##0\);_(* "-"??_);_(@_)</c:formatCode>
                <c:ptCount val="4"/>
                <c:pt idx="0">
                  <c:v>2172</c:v>
                </c:pt>
                <c:pt idx="1">
                  <c:v>388</c:v>
                </c:pt>
                <c:pt idx="2">
                  <c:v>340</c:v>
                </c:pt>
                <c:pt idx="3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9-430D-95BF-CAC5A1A4889B}"/>
            </c:ext>
          </c:extLst>
        </c:ser>
        <c:ser>
          <c:idx val="1"/>
          <c:order val="1"/>
          <c:tx>
            <c:strRef>
              <c:f>'Xfer 4-Year (CCCCO)'!$I$23</c:f>
              <c:strCache>
                <c:ptCount val="1"/>
                <c:pt idx="0">
                  <c:v>2023-24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'Xfer 4-Year (CCCCO)'!$G$24:$G$27</c:f>
              <c:strCache>
                <c:ptCount val="4"/>
                <c:pt idx="0">
                  <c:v>CSU Transfers</c:v>
                </c:pt>
                <c:pt idx="1">
                  <c:v>UC Transfers</c:v>
                </c:pt>
                <c:pt idx="2">
                  <c:v>In-State Private</c:v>
                </c:pt>
                <c:pt idx="3">
                  <c:v>Out-of-State</c:v>
                </c:pt>
              </c:strCache>
            </c:strRef>
          </c:cat>
          <c:val>
            <c:numRef>
              <c:f>'Xfer 4-Year (CCCCO)'!$I$24:$I$27</c:f>
              <c:numCache>
                <c:formatCode>_(* #,##0_);_(* \(#,##0\);_(* "-"??_);_(@_)</c:formatCode>
                <c:ptCount val="4"/>
                <c:pt idx="0">
                  <c:v>2004</c:v>
                </c:pt>
                <c:pt idx="1">
                  <c:v>341</c:v>
                </c:pt>
                <c:pt idx="2">
                  <c:v>343</c:v>
                </c:pt>
                <c:pt idx="3">
                  <c:v>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9-430D-95BF-CAC5A1A4889B}"/>
            </c:ext>
          </c:extLst>
        </c:ser>
        <c:ser>
          <c:idx val="2"/>
          <c:order val="2"/>
          <c:tx>
            <c:strRef>
              <c:f>'Xfer 4-Year (CCCCO)'!$J$23</c:f>
              <c:strCache>
                <c:ptCount val="1"/>
                <c:pt idx="0">
                  <c:v>2024-25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'Xfer 4-Year (CCCCO)'!$G$24:$G$27</c:f>
              <c:strCache>
                <c:ptCount val="4"/>
                <c:pt idx="0">
                  <c:v>CSU Transfers</c:v>
                </c:pt>
                <c:pt idx="1">
                  <c:v>UC Transfers</c:v>
                </c:pt>
                <c:pt idx="2">
                  <c:v>In-State Private</c:v>
                </c:pt>
                <c:pt idx="3">
                  <c:v>Out-of-State</c:v>
                </c:pt>
              </c:strCache>
            </c:strRef>
          </c:cat>
          <c:val>
            <c:numRef>
              <c:f>'Xfer 4-Year (CCCCO)'!$J$24:$J$27</c:f>
              <c:numCache>
                <c:formatCode>_(* #,##0_);_(* \(#,##0\);_(* "-"??_);_(@_)</c:formatCode>
                <c:ptCount val="4"/>
                <c:pt idx="0">
                  <c:v>2004</c:v>
                </c:pt>
                <c:pt idx="1">
                  <c:v>221</c:v>
                </c:pt>
                <c:pt idx="2">
                  <c:v>325</c:v>
                </c:pt>
                <c:pt idx="3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A-E247-B5E5-DE4E1781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4168000"/>
        <c:axId val="418198928"/>
      </c:barChart>
      <c:catAx>
        <c:axId val="44416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98928"/>
        <c:crosses val="autoZero"/>
        <c:auto val="1"/>
        <c:lblAlgn val="ctr"/>
        <c:lblOffset val="100"/>
        <c:noMultiLvlLbl val="0"/>
      </c:catAx>
      <c:valAx>
        <c:axId val="41819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168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1876424</xdr:colOff>
      <xdr:row>45</xdr:row>
      <xdr:rowOff>161925</xdr:rowOff>
    </xdr:from>
    <xdr:to>
      <xdr:col>15</xdr:col>
      <xdr:colOff>647699</xdr:colOff>
      <xdr:row>65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83A55B-7100-554A-B0F8-9536A222A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0.15432</cdr:x>
      <cdr:y>0.14876</cdr:y>
    </cdr:from>
    <cdr:to>
      <cdr:x>0.41784</cdr:x>
      <cdr:y>0.427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939265" y="514348"/>
          <a:ext cx="1603910" cy="96202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2025-26 Benchmark 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Actual: 1,984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Benchmark: 1,884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Variance: +100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0.53446</cdr:x>
      <cdr:y>0.4472</cdr:y>
    </cdr:from>
    <cdr:to>
      <cdr:x>0.74648</cdr:x>
      <cdr:y>0.64187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252977" y="1546227"/>
          <a:ext cx="1290448" cy="673097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>
              <a:solidFill>
                <a:schemeClr val="tx1"/>
              </a:solidFill>
            </a:rPr>
            <a:t>2026-27 Proposed Interim</a:t>
          </a:r>
          <a:r>
            <a:rPr lang="en-US" b="0" baseline="0">
              <a:solidFill>
                <a:schemeClr val="tx1"/>
              </a:solidFill>
            </a:rPr>
            <a:t> Benchmark: 1,955</a:t>
          </a:r>
          <a:br>
            <a:rPr lang="en-US">
              <a:solidFill>
                <a:schemeClr val="tx1"/>
              </a:solidFill>
            </a:rPr>
          </a:br>
          <a:endParaRPr lang="en-US" kern="1200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39" name="Chart">
          <a:extLst>
            <a:ext uri="{FF2B5EF4-FFF2-40B4-BE49-F238E27FC236}">
              <a16:creationId xmlns:a16="http://schemas.microsoft.com/office/drawing/2014/main" id="{7B7AD6A8-D381-4D5D-8C4C-2C47AF4B6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0.13117</cdr:x>
      <cdr:y>0.14876</cdr:y>
    </cdr:from>
    <cdr:to>
      <cdr:x>0.40063</cdr:x>
      <cdr:y>0.41598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798364" y="514349"/>
          <a:ext cx="1640036" cy="92392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2025-26 Benchmark </a:t>
          </a:r>
          <a:r>
            <a:rPr lang="en-US" b="1">
              <a:solidFill>
                <a:schemeClr val="tx1"/>
              </a:solidFill>
            </a:rPr>
            <a:t>NOT 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 1,729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 1,829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 -100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0.53446</cdr:x>
      <cdr:y>0.4472</cdr:y>
    </cdr:from>
    <cdr:to>
      <cdr:x>0.77308</cdr:x>
      <cdr:y>0.63636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252976" y="1546227"/>
          <a:ext cx="1452373" cy="654047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>
              <a:solidFill>
                <a:schemeClr val="tx1"/>
              </a:solidFill>
            </a:rPr>
            <a:t>2026-27 Proposed Interim</a:t>
          </a:r>
          <a:r>
            <a:rPr lang="en-US" b="0" baseline="0">
              <a:solidFill>
                <a:schemeClr val="tx1"/>
              </a:solidFill>
            </a:rPr>
            <a:t> Benchmark: 1,899</a:t>
          </a:r>
          <a:br>
            <a:rPr lang="en-US">
              <a:solidFill>
                <a:schemeClr val="tx1"/>
              </a:solidFill>
            </a:rPr>
          </a:br>
          <a:endParaRPr lang="en-US" kern="1200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78" name="Chart">
          <a:extLst>
            <a:ext uri="{FF2B5EF4-FFF2-40B4-BE49-F238E27FC236}">
              <a16:creationId xmlns:a16="http://schemas.microsoft.com/office/drawing/2014/main" id="{23B45079-8400-4921-BA8C-849085920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0.17936</cdr:x>
      <cdr:y>0.19559</cdr:y>
    </cdr:from>
    <cdr:to>
      <cdr:x>0.46177</cdr:x>
      <cdr:y>0.48117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1091665" y="676274"/>
          <a:ext cx="1718881" cy="98741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2025-26 Benchmark </a:t>
          </a:r>
          <a:r>
            <a:rPr lang="en-US" b="1">
              <a:solidFill>
                <a:schemeClr val="tx1"/>
              </a:solidFill>
            </a:rPr>
            <a:t>NOT 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 3,241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 3,364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 -123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0.57515</cdr:x>
      <cdr:y>0.52158</cdr:y>
    </cdr:from>
    <cdr:to>
      <cdr:x>0.78873</cdr:x>
      <cdr:y>0.73554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500626" y="1803403"/>
          <a:ext cx="1299973" cy="739772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>
              <a:solidFill>
                <a:schemeClr val="tx1"/>
              </a:solidFill>
            </a:rPr>
            <a:t>2026-27 Proposed Interim</a:t>
          </a:r>
          <a:r>
            <a:rPr lang="en-US" b="0" baseline="0">
              <a:solidFill>
                <a:schemeClr val="tx1"/>
              </a:solidFill>
            </a:rPr>
            <a:t> Benchmark: 3,492</a:t>
          </a:r>
          <a:br>
            <a:rPr lang="en-US">
              <a:solidFill>
                <a:schemeClr val="tx1"/>
              </a:solidFill>
            </a:rPr>
          </a:br>
          <a:endParaRPr lang="en-US" kern="1200">
            <a:solidFill>
              <a:schemeClr val="tx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72" name="Chart">
          <a:extLst>
            <a:ext uri="{FF2B5EF4-FFF2-40B4-BE49-F238E27FC236}">
              <a16:creationId xmlns:a16="http://schemas.microsoft.com/office/drawing/2014/main" id="{287B81F9-991A-48DB-B98B-35028E493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0.21535</cdr:x>
      <cdr:y>0.17355</cdr:y>
    </cdr:from>
    <cdr:to>
      <cdr:x>0.45383</cdr:x>
      <cdr:y>0.44904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1310740" y="600073"/>
          <a:ext cx="1451510" cy="952501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2025-26 Benchmark </a:t>
          </a:r>
          <a:r>
            <a:rPr lang="en-US" b="1">
              <a:solidFill>
                <a:schemeClr val="tx1"/>
              </a:solidFill>
            </a:rPr>
            <a:t>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 1,286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 1,133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 +153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0.5908</cdr:x>
      <cdr:y>0.54086</cdr:y>
    </cdr:from>
    <cdr:to>
      <cdr:x>0.79656</cdr:x>
      <cdr:y>0.76033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595877" y="1870078"/>
          <a:ext cx="1252348" cy="758822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>
              <a:solidFill>
                <a:schemeClr val="tx1"/>
              </a:solidFill>
            </a:rPr>
            <a:t>2026-27 Proposed Interim</a:t>
          </a:r>
          <a:r>
            <a:rPr lang="en-US" b="0" baseline="0">
              <a:solidFill>
                <a:schemeClr val="tx1"/>
              </a:solidFill>
            </a:rPr>
            <a:t> Benchmark: 1,176</a:t>
          </a:r>
          <a:br>
            <a:rPr lang="en-US" b="0">
              <a:solidFill>
                <a:schemeClr val="tx1"/>
              </a:solidFill>
            </a:rPr>
          </a:br>
          <a:endParaRPr lang="en-US" b="0" kern="1200">
            <a:solidFill>
              <a:schemeClr val="tx1"/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30" name="Chart">
          <a:extLst>
            <a:ext uri="{FF2B5EF4-FFF2-40B4-BE49-F238E27FC236}">
              <a16:creationId xmlns:a16="http://schemas.microsoft.com/office/drawing/2014/main" id="{70C706AA-8625-4D9A-8B54-7D1EAB856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0.21222</cdr:x>
      <cdr:y>0.27273</cdr:y>
    </cdr:from>
    <cdr:to>
      <cdr:x>0.47731</cdr:x>
      <cdr:y>0.55372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1291690" y="942974"/>
          <a:ext cx="1613463" cy="97154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2025-26 Benchmark </a:t>
          </a:r>
          <a:r>
            <a:rPr lang="en-US" b="1">
              <a:solidFill>
                <a:schemeClr val="tx1"/>
              </a:solidFill>
            </a:rPr>
            <a:t>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Actual: 4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Benchmark: 2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 +2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0.57984</cdr:x>
      <cdr:y>0.51607</cdr:y>
    </cdr:from>
    <cdr:to>
      <cdr:x>0.77686</cdr:x>
      <cdr:y>0.69973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529202" y="1784353"/>
          <a:ext cx="1199158" cy="635018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>
              <a:solidFill>
                <a:schemeClr val="tx1"/>
              </a:solidFill>
            </a:rPr>
            <a:t>2026-27 Proposed Interim</a:t>
          </a:r>
          <a:r>
            <a:rPr lang="en-US" b="0" baseline="0">
              <a:solidFill>
                <a:schemeClr val="tx1"/>
              </a:solidFill>
            </a:rPr>
            <a:t> Benchmark: 2</a:t>
          </a:r>
          <a:br>
            <a:rPr lang="en-US" b="0">
              <a:solidFill>
                <a:schemeClr val="tx1"/>
              </a:solidFill>
            </a:rPr>
          </a:br>
          <a:endParaRPr lang="en-US" b="0" kern="1200">
            <a:solidFill>
              <a:schemeClr val="tx1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D0736983-963C-42C0-977C-3857F7724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1876424</xdr:colOff>
      <xdr:row>45</xdr:row>
      <xdr:rowOff>161925</xdr:rowOff>
    </xdr:from>
    <xdr:to>
      <xdr:col>15</xdr:col>
      <xdr:colOff>647699</xdr:colOff>
      <xdr:row>65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F7968C-1CBC-4BA7-8FA1-4FE40633F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0.15432</cdr:x>
      <cdr:y>0.14876</cdr:y>
    </cdr:from>
    <cdr:to>
      <cdr:x>0.43344</cdr:x>
      <cdr:y>0.43361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934855" y="516238"/>
          <a:ext cx="1690870" cy="988508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2025-26 Benchmark </a:t>
          </a:r>
          <a:r>
            <a:rPr lang="en-US" b="1">
              <a:solidFill>
                <a:schemeClr val="tx1"/>
              </a:solidFill>
            </a:rPr>
            <a:t>NOT 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Actual: 82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Benchmark: 81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Variance: +1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0.56419</cdr:x>
      <cdr:y>0.51588</cdr:y>
    </cdr:from>
    <cdr:to>
      <cdr:x>0.76121</cdr:x>
      <cdr:y>0.73813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433952" y="1788612"/>
          <a:ext cx="1199158" cy="770563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>
              <a:solidFill>
                <a:schemeClr val="tx1"/>
              </a:solidFill>
            </a:rPr>
            <a:t>2026-27 Proposed Interim</a:t>
          </a:r>
          <a:r>
            <a:rPr lang="en-US" b="0" baseline="0">
              <a:solidFill>
                <a:schemeClr val="tx1"/>
              </a:solidFill>
            </a:rPr>
            <a:t> Benchmark: 80</a:t>
          </a:r>
          <a:br>
            <a:rPr lang="en-US">
              <a:solidFill>
                <a:schemeClr val="tx1"/>
              </a:solidFill>
            </a:rPr>
          </a:br>
          <a:endParaRPr lang="en-US" kern="1200">
            <a:solidFill>
              <a:schemeClr val="tx1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62" name="Chart">
          <a:extLst>
            <a:ext uri="{FF2B5EF4-FFF2-40B4-BE49-F238E27FC236}">
              <a16:creationId xmlns:a16="http://schemas.microsoft.com/office/drawing/2014/main" id="{4F08D2DF-486A-42C2-8E3D-5C2A4E99B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0.1684</cdr:x>
      <cdr:y>0.17906</cdr:y>
    </cdr:from>
    <cdr:to>
      <cdr:x>0.42567</cdr:x>
      <cdr:y>0.4573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1024990" y="619124"/>
          <a:ext cx="1565810" cy="96202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2025-26 Benchmark </a:t>
          </a:r>
          <a:r>
            <a:rPr lang="en-US" b="1">
              <a:solidFill>
                <a:schemeClr val="tx1"/>
              </a:solidFill>
            </a:rPr>
            <a:t>NOT 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Actual: 5,774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Benchmark: 6,033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Variance: -259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0.57984</cdr:x>
      <cdr:y>0.47475</cdr:y>
    </cdr:from>
    <cdr:to>
      <cdr:x>0.7903</cdr:x>
      <cdr:y>0.66667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529201" y="1641478"/>
          <a:ext cx="1280923" cy="663572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>
              <a:solidFill>
                <a:schemeClr val="tx1"/>
              </a:solidFill>
            </a:rPr>
            <a:t>2026-27 Proposed Interim</a:t>
          </a:r>
          <a:r>
            <a:rPr lang="en-US" b="0" baseline="0">
              <a:solidFill>
                <a:schemeClr val="tx1"/>
              </a:solidFill>
            </a:rPr>
            <a:t> Benchmark: 6,262</a:t>
          </a:r>
          <a:br>
            <a:rPr lang="en-US">
              <a:solidFill>
                <a:schemeClr val="tx1"/>
              </a:solidFill>
            </a:rPr>
          </a:br>
          <a:endParaRPr lang="en-US" kern="1200">
            <a:solidFill>
              <a:schemeClr val="tx1"/>
            </a:solidFill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19</xdr:row>
      <xdr:rowOff>152400</xdr:rowOff>
    </xdr:to>
    <xdr:graphicFrame macro="">
      <xdr:nvGraphicFramePr>
        <xdr:cNvPr id="86" name="Chart">
          <a:extLst>
            <a:ext uri="{FF2B5EF4-FFF2-40B4-BE49-F238E27FC236}">
              <a16:creationId xmlns:a16="http://schemas.microsoft.com/office/drawing/2014/main" id="{7A04A04A-A0BC-42ED-94A1-65134BE13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0.17779</cdr:x>
      <cdr:y>0.15978</cdr:y>
    </cdr:from>
    <cdr:to>
      <cdr:x>0.45383</cdr:x>
      <cdr:y>0.42424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1082141" y="552449"/>
          <a:ext cx="1680109" cy="914401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>
              <a:solidFill>
                <a:schemeClr val="tx1"/>
              </a:solidFill>
            </a:rPr>
            <a:t>2024-25 Benchmark </a:t>
          </a:r>
          <a:r>
            <a:rPr lang="en-US" b="1">
              <a:solidFill>
                <a:schemeClr val="tx1"/>
              </a:solidFill>
            </a:rPr>
            <a:t>NOT MET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Actual 1,548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Benchmark 2,130 </a:t>
          </a:r>
        </a:p>
        <a:p xmlns:a="http://schemas.openxmlformats.org/drawingml/2006/main">
          <a:r>
            <a:rPr lang="en-US" b="0">
              <a:solidFill>
                <a:schemeClr val="tx1"/>
              </a:solidFill>
            </a:rPr>
            <a:t>Variance -582</a:t>
          </a:r>
          <a:endParaRPr lang="en-US" b="0" kern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0.49377</cdr:x>
      <cdr:y>0.46097</cdr:y>
    </cdr:from>
    <cdr:to>
      <cdr:x>0.74178</cdr:x>
      <cdr:y>0.7135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005326" y="1593853"/>
          <a:ext cx="1509523" cy="873122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2025-26 Next Interim</a:t>
          </a:r>
          <a:r>
            <a:rPr 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Benchmark: 2,214</a:t>
          </a:r>
          <a:endParaRPr lang="en-US">
            <a:solidFill>
              <a:schemeClr val="tx1"/>
            </a:solidFill>
            <a:effectLst/>
          </a:endParaRPr>
        </a:p>
        <a:p xmlns:a="http://schemas.openxmlformats.org/drawingml/2006/main"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(data available late fall 2026)</a:t>
          </a:r>
          <a:endParaRPr lang="en-US" b="0" kern="1200">
            <a:solidFill>
              <a:schemeClr val="tx1"/>
            </a:solidFill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0</xdr:rowOff>
    </xdr:from>
    <xdr:to>
      <xdr:col>11</xdr:col>
      <xdr:colOff>400051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7DB96-B1D7-4362-AB46-AD161F08A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190499</xdr:colOff>
      <xdr:row>17</xdr:row>
      <xdr:rowOff>100012</xdr:rowOff>
    </xdr:from>
    <xdr:to>
      <xdr:col>14</xdr:col>
      <xdr:colOff>542925</xdr:colOff>
      <xdr:row>42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9111C4-DA8E-46DD-A3D6-0181498F9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252412</xdr:colOff>
      <xdr:row>46</xdr:row>
      <xdr:rowOff>4762</xdr:rowOff>
    </xdr:from>
    <xdr:to>
      <xdr:col>12</xdr:col>
      <xdr:colOff>557212</xdr:colOff>
      <xdr:row>60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30F60-B16A-487C-AF03-918673673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14287</xdr:colOff>
      <xdr:row>63</xdr:row>
      <xdr:rowOff>61912</xdr:rowOff>
    </xdr:from>
    <xdr:to>
      <xdr:col>10</xdr:col>
      <xdr:colOff>495300</xdr:colOff>
      <xdr:row>77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BC0015-9B92-4521-BB71-F755553E4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0</xdr:row>
      <xdr:rowOff>161925</xdr:rowOff>
    </xdr:from>
    <xdr:to>
      <xdr:col>16</xdr:col>
      <xdr:colOff>676275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BF572541-E789-4BD4-921F-DCD3E22CD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28</xdr:row>
      <xdr:rowOff>47625</xdr:rowOff>
    </xdr:from>
    <xdr:to>
      <xdr:col>11</xdr:col>
      <xdr:colOff>628650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2EC76-3517-D18A-1FD4-FB5C66711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0.1142</cdr:x>
      <cdr:y>0.15427</cdr:y>
    </cdr:from>
    <cdr:to>
      <cdr:x>0.39352</cdr:x>
      <cdr:y>0.38843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3CD233B-C883-FCB0-EB5D-8C1186EA47A5}"/>
            </a:ext>
          </a:extLst>
        </cdr:cNvPr>
        <cdr:cNvSpPr/>
      </cdr:nvSpPr>
      <cdr:spPr>
        <a:xfrm xmlns:a="http://schemas.openxmlformats.org/drawingml/2006/main">
          <a:off x="704844" y="533399"/>
          <a:ext cx="1724032" cy="80962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4">
            <a:shade val="15000"/>
          </a:schemeClr>
        </a:lnRef>
        <a:fillRef xmlns:a="http://schemas.openxmlformats.org/drawingml/2006/main" idx="1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1"/>
            <a:t>2024-25 </a:t>
          </a: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Benchmark</a:t>
          </a:r>
          <a:r>
            <a:rPr lang="en-US" b="1"/>
            <a:t> NOT MET</a:t>
          </a:r>
          <a:br>
            <a:rPr lang="en-US"/>
          </a:br>
          <a:r>
            <a:rPr lang="en-US"/>
            <a:t>Actual </a:t>
          </a:r>
          <a:r>
            <a:rPr lang="en-US" b="1"/>
            <a:t>3,465</a:t>
          </a:r>
          <a:r>
            <a:rPr lang="en-US"/>
            <a:t> </a:t>
          </a:r>
        </a:p>
        <a:p xmlns:a="http://schemas.openxmlformats.org/drawingml/2006/main">
          <a:r>
            <a:rPr lang="en-US"/>
            <a:t>Target </a:t>
          </a:r>
          <a:r>
            <a:rPr lang="en-US" b="1"/>
            <a:t>3,970</a:t>
          </a:r>
          <a:r>
            <a:rPr lang="en-US"/>
            <a:t> </a:t>
          </a:r>
        </a:p>
        <a:p xmlns:a="http://schemas.openxmlformats.org/drawingml/2006/main">
          <a:r>
            <a:rPr lang="en-US"/>
            <a:t>Variance </a:t>
          </a:r>
          <a:r>
            <a:rPr lang="en-US" b="1"/>
            <a:t>-505</a:t>
          </a:r>
          <a:endParaRPr lang="en-US" kern="1200"/>
        </a:p>
      </cdr:txBody>
    </cdr:sp>
  </cdr:relSizeAnchor>
  <cdr:relSizeAnchor xmlns:cdr="http://schemas.openxmlformats.org/drawingml/2006/chartDrawing">
    <cdr:from>
      <cdr:x>0.53446</cdr:x>
      <cdr:y>0.4472</cdr:y>
    </cdr:from>
    <cdr:to>
      <cdr:x>0.73148</cdr:x>
      <cdr:y>0.63086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6311B42-78E2-9B7E-0BA5-C2D64F32A455}"/>
            </a:ext>
          </a:extLst>
        </cdr:cNvPr>
        <cdr:cNvSpPr/>
      </cdr:nvSpPr>
      <cdr:spPr>
        <a:xfrm xmlns:a="http://schemas.openxmlformats.org/drawingml/2006/main">
          <a:off x="3298818" y="1546216"/>
          <a:ext cx="1216047" cy="635019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1">
              <a:solidFill>
                <a:schemeClr val="tx1"/>
              </a:solidFill>
            </a:rPr>
            <a:t>2026-27 Proposed Interim</a:t>
          </a:r>
          <a:r>
            <a:rPr lang="en-US" b="1" baseline="0">
              <a:solidFill>
                <a:schemeClr val="tx1"/>
              </a:solidFill>
            </a:rPr>
            <a:t> Benchmark: 4,284</a:t>
          </a:r>
          <a:br>
            <a:rPr lang="en-US">
              <a:solidFill>
                <a:schemeClr val="tx1"/>
              </a:solidFill>
            </a:rPr>
          </a:br>
          <a:endParaRPr lang="en-US" kern="1200">
            <a:solidFill>
              <a:schemeClr val="tx1"/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e Estudillo" refreshedDate="46281.563039004628" backgroundQuery="1" createdVersion="8" refreshedVersion="8" minRefreshableVersion="3" recordCount="0" supportSubquery="1" supportAdvancedDrill="1" xr:uid="{C5257727-1B87-4C7C-AB98-5D9073D82337}">
  <cacheSource type="external" connectionId="1"/>
  <cacheFields count="3">
    <cacheField name="[Range].[Demographic Group].[Demographic Group]" caption="Demographic Group" numFmtId="0" hierarchy="2" level="1">
      <sharedItems count="10">
        <s v="Asian"/>
        <s v="Black/African American"/>
        <s v="Female"/>
        <s v="First Generation Student"/>
        <s v="Latino/Hispanic"/>
        <s v="Male"/>
        <s v="Multiethnic"/>
        <s v="Non-Binary"/>
        <s v="Not First Generation Student"/>
        <s v="White"/>
      </sharedItems>
    </cacheField>
    <cacheField name="[Range].[Status].[Status]" caption="Status" numFmtId="0" hierarchy="7" level="1">
      <sharedItems count="2">
        <s v="Met"/>
        <s v="Not Met"/>
      </sharedItems>
    </cacheField>
    <cacheField name="[Measures].[Count of Status]" caption="Count of Status" numFmtId="0" hierarchy="10" level="32767"/>
  </cacheFields>
  <cacheHierarchies count="12">
    <cacheHierarchy uniqueName="[Range].[Metric]" caption="Metric" attribute="1" defaultMemberUniqueName="[Range].[Metric].[All]" allUniqueName="[Range].[Metric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Demographic Group]" caption="Demographic Group" attribute="1" defaultMemberUniqueName="[Range].[Demographic Group].[All]" allUniqueName="[Range].[Demographic 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2022-23 Baseline]" caption="2022-23 Baseline" attribute="1" defaultMemberUniqueName="[Range].[2022-23 Baseline].[All]" allUniqueName="[Range].[2022-23 Baseline].[All]" dimensionUniqueName="[Range]" displayFolder="" count="0" memberValueDatatype="20" unbalanced="0"/>
    <cacheHierarchy uniqueName="[Range].[2025-26 Target]" caption="2025-26 Target" attribute="1" defaultMemberUniqueName="[Range].[2025-26 Target].[All]" allUniqueName="[Range].[2025-26 Target].[All]" dimensionUniqueName="[Range]" displayFolder="" count="0" memberValueDatatype="5" unbalanced="0"/>
    <cacheHierarchy uniqueName="[Range].[2025-26 Actual]" caption="2025-26 Actual" attribute="1" defaultMemberUniqueName="[Range].[2025-26 Actual].[All]" allUniqueName="[Range].[2025-26 Actual].[All]" dimensionUniqueName="[Range]" displayFolder="" count="0" memberValueDatatype="20" unbalanced="0"/>
    <cacheHierarchy uniqueName="[Range].[Variance]" caption="Variance" attribute="1" defaultMemberUniqueName="[Range].[Variance].[All]" allUniqueName="[Range].[Variance].[All]" dimensionUniqueName="[Range]" displayFolder="" count="0" memberValueDatatype="5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Variance]" caption="Sum of Varian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e Estudillo" refreshedDate="46281.592005324077" backgroundQuery="1" createdVersion="8" refreshedVersion="8" minRefreshableVersion="3" recordCount="0" supportSubquery="1" supportAdvancedDrill="1" xr:uid="{E3D1733D-B13F-4BD7-B772-4AF0E8EDDF92}">
  <cacheSource type="external" connectionId="1"/>
  <cacheFields count="2">
    <cacheField name="[Range].[Demographic Group].[Demographic Group]" caption="Demographic Group" numFmtId="0" hierarchy="2" level="1">
      <sharedItems count="10">
        <s v="Asian"/>
        <s v="Black/African American"/>
        <s v="Female"/>
        <s v="First Generation Student"/>
        <s v="Latino/Hispanic"/>
        <s v="Male"/>
        <s v="Multiethnic"/>
        <s v="Non-Binary"/>
        <s v="Not First Generation Student"/>
        <s v="White"/>
      </sharedItems>
    </cacheField>
    <cacheField name="[Measures].[Sum of Variance]" caption="Sum of Variance" numFmtId="0" hierarchy="11" level="32767"/>
  </cacheFields>
  <cacheHierarchies count="12">
    <cacheHierarchy uniqueName="[Range].[Metric]" caption="Metric" attribute="1" defaultMemberUniqueName="[Range].[Metric].[All]" allUniqueName="[Range].[Metric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Demographic Group]" caption="Demographic Group" attribute="1" defaultMemberUniqueName="[Range].[Demographic Group].[All]" allUniqueName="[Range].[Demographic 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2022-23 Baseline]" caption="2022-23 Baseline" attribute="1" defaultMemberUniqueName="[Range].[2022-23 Baseline].[All]" allUniqueName="[Range].[2022-23 Baseline].[All]" dimensionUniqueName="[Range]" displayFolder="" count="0" memberValueDatatype="20" unbalanced="0"/>
    <cacheHierarchy uniqueName="[Range].[2025-26 Target]" caption="2025-26 Target" attribute="1" defaultMemberUniqueName="[Range].[2025-26 Target].[All]" allUniqueName="[Range].[2025-26 Target].[All]" dimensionUniqueName="[Range]" displayFolder="" count="0" memberValueDatatype="5" unbalanced="0"/>
    <cacheHierarchy uniqueName="[Range].[2025-26 Actual]" caption="2025-26 Actual" attribute="1" defaultMemberUniqueName="[Range].[2025-26 Actual].[All]" allUniqueName="[Range].[2025-26 Actual].[All]" dimensionUniqueName="[Range]" displayFolder="" count="0" memberValueDatatype="20" unbalanced="0"/>
    <cacheHierarchy uniqueName="[Range].[Variance]" caption="Variance" attribute="1" defaultMemberUniqueName="[Range].[Variance].[All]" allUniqueName="[Range].[Variance].[All]" dimensionUniqueName="[Range]" displayFolder="" count="0" memberValueDatatype="5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tatus]" caption="Count of Statu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Variance]" caption="Sum of Varian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9DFD0-C877-4041-86DB-BABC42AC28E5}" name="PivotTable8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K27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Variance" fld="1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quity Analysis!$A$1:$H$7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C6F4C-4847-445E-9967-F8E94FD9106B}" name="PivotTable1" cacheId="17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J1:M13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tatus" fld="2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quity Analysis!$A$1:$H$7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EB8E9B-BA19-43DC-B94E-1F59A2AA647A}" name="Table2" displayName="Table2" ref="J30:K40" totalsRowShown="0">
  <tableColumns count="2">
    <tableColumn id="1" xr3:uid="{FFCF9B8F-2D81-47B8-81D4-999558F50CA2}" name="Group" dataDxfId="1"/>
    <tableColumn id="2" xr3:uid="{8F0920E0-9313-4611-A870-D5BF428D4126}" name="Vari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workbookViewId="0">
      <selection activeCell="F18" sqref="F18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1669</v>
      </c>
      <c r="C2" s="1">
        <f>$G$2</f>
        <v>1669</v>
      </c>
      <c r="D2" s="3" t="s">
        <v>7</v>
      </c>
      <c r="F2" t="s">
        <v>8</v>
      </c>
      <c r="G2" s="1">
        <f>B2</f>
        <v>1669</v>
      </c>
    </row>
    <row r="3" spans="1:7">
      <c r="A3" t="s">
        <v>9</v>
      </c>
      <c r="B3" s="28">
        <v>1731</v>
      </c>
      <c r="C3" s="1">
        <f>$G$2*(1+$G$3*(ROW()-ROW($C$2))/$G$4)</f>
        <v>1740.5285714285715</v>
      </c>
      <c r="D3" s="18">
        <f>B3-C3</f>
        <v>-9.5285714285714675</v>
      </c>
      <c r="F3" t="s">
        <v>10</v>
      </c>
      <c r="G3" s="27">
        <v>0.3</v>
      </c>
    </row>
    <row r="4" spans="1:7">
      <c r="A4" t="s">
        <v>11</v>
      </c>
      <c r="B4" s="28">
        <v>1761</v>
      </c>
      <c r="C4" s="1">
        <f t="shared" ref="C4:C9" si="0">$G$2*(1+$G$3*(ROW()-ROW($C$2))/$G$4)</f>
        <v>1812.0571428571427</v>
      </c>
      <c r="D4" s="18">
        <f t="shared" ref="D4:D9" si="1">B4-C4</f>
        <v>-51.057142857142708</v>
      </c>
      <c r="F4" t="s">
        <v>12</v>
      </c>
      <c r="G4">
        <v>7</v>
      </c>
    </row>
    <row r="5" spans="1:7">
      <c r="A5" t="s">
        <v>13</v>
      </c>
      <c r="B5" s="28">
        <v>1984</v>
      </c>
      <c r="C5" s="1">
        <f t="shared" si="0"/>
        <v>1883.5857142857142</v>
      </c>
      <c r="D5" s="18">
        <f t="shared" si="1"/>
        <v>100.41428571428582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29">
        <f t="shared" si="0"/>
        <v>1955.1142857142859</v>
      </c>
      <c r="D6" s="18">
        <f t="shared" si="1"/>
        <v>-1955.1142857142859</v>
      </c>
      <c r="F6" t="s">
        <v>10</v>
      </c>
      <c r="G6" s="17">
        <f>($G$2*G3)+G2</f>
        <v>2169.6999999999998</v>
      </c>
    </row>
    <row r="7" spans="1:7">
      <c r="A7" t="s">
        <v>16</v>
      </c>
      <c r="B7" s="1"/>
      <c r="C7" s="1">
        <f t="shared" si="0"/>
        <v>2026.6428571428569</v>
      </c>
      <c r="D7" s="18">
        <f t="shared" si="1"/>
        <v>-2026.6428571428569</v>
      </c>
    </row>
    <row r="8" spans="1:7">
      <c r="A8" t="s">
        <v>17</v>
      </c>
      <c r="B8" s="1"/>
      <c r="C8" s="1">
        <f t="shared" si="0"/>
        <v>2098.1714285714284</v>
      </c>
      <c r="D8" s="18">
        <f t="shared" si="1"/>
        <v>-2098.1714285714284</v>
      </c>
      <c r="F8" t="s">
        <v>18</v>
      </c>
    </row>
    <row r="9" spans="1:7">
      <c r="A9" t="s">
        <v>19</v>
      </c>
      <c r="B9" s="1"/>
      <c r="C9" s="1">
        <f t="shared" si="0"/>
        <v>2169.7000000000003</v>
      </c>
      <c r="D9" s="18">
        <f t="shared" si="1"/>
        <v>-2169.7000000000003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22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26</v>
      </c>
      <c r="C16" s="13">
        <v>244</v>
      </c>
      <c r="D16" s="13">
        <f>C16</f>
        <v>244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28</v>
      </c>
      <c r="C17" s="13">
        <v>54</v>
      </c>
      <c r="D17" s="13">
        <f t="shared" ref="D17:D21" si="2">C17</f>
        <v>54</v>
      </c>
      <c r="E17" s="5"/>
      <c r="F17" s="5" t="s">
        <v>27</v>
      </c>
    </row>
    <row r="18" spans="1:17">
      <c r="A18" s="8" t="s">
        <v>25</v>
      </c>
      <c r="B18" s="9" t="s">
        <v>29</v>
      </c>
      <c r="C18" s="13">
        <v>928</v>
      </c>
      <c r="D18" s="13">
        <f t="shared" si="2"/>
        <v>928</v>
      </c>
      <c r="F18" s="5" t="s">
        <v>27</v>
      </c>
    </row>
    <row r="19" spans="1:17">
      <c r="A19" s="8" t="s">
        <v>25</v>
      </c>
      <c r="B19" s="9" t="s">
        <v>30</v>
      </c>
      <c r="C19" s="13">
        <v>139</v>
      </c>
      <c r="D19" s="13">
        <f t="shared" si="2"/>
        <v>139</v>
      </c>
      <c r="F19" s="5" t="s">
        <v>27</v>
      </c>
    </row>
    <row r="20" spans="1:17">
      <c r="A20" s="8" t="s">
        <v>25</v>
      </c>
      <c r="B20" s="9" t="s">
        <v>31</v>
      </c>
      <c r="C20" s="13">
        <v>29</v>
      </c>
      <c r="D20" s="13">
        <f t="shared" si="2"/>
        <v>29</v>
      </c>
      <c r="F20" s="5" t="s">
        <v>27</v>
      </c>
    </row>
    <row r="21" spans="1:17">
      <c r="A21" s="8" t="s">
        <v>25</v>
      </c>
      <c r="B21" s="9" t="s">
        <v>32</v>
      </c>
      <c r="C21" s="13">
        <v>251</v>
      </c>
      <c r="D21" s="13">
        <f t="shared" si="2"/>
        <v>251</v>
      </c>
      <c r="F21" s="5" t="s">
        <v>27</v>
      </c>
      <c r="I21" s="68"/>
      <c r="J21" s="70"/>
      <c r="K21" s="70"/>
      <c r="L21" s="70"/>
      <c r="M21" s="70"/>
      <c r="N21" s="70"/>
      <c r="O21" s="70"/>
      <c r="P21" s="70"/>
      <c r="Q21" s="70"/>
    </row>
    <row r="22" spans="1:17">
      <c r="A22" s="8" t="s">
        <v>33</v>
      </c>
      <c r="B22" s="9" t="s">
        <v>26</v>
      </c>
      <c r="C22" s="13">
        <v>218</v>
      </c>
      <c r="D22" s="13">
        <f>$C$16*(1+($G$3/7)*1)</f>
        <v>254.45714285714288</v>
      </c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8" t="s">
        <v>33</v>
      </c>
      <c r="B23" s="9" t="s">
        <v>28</v>
      </c>
      <c r="C23" s="13">
        <v>69</v>
      </c>
      <c r="D23" s="13">
        <f>$C$17*(1+($G$3/7)*1)</f>
        <v>56.314285714285717</v>
      </c>
    </row>
    <row r="24" spans="1:17" ht="15">
      <c r="A24" s="8" t="s">
        <v>33</v>
      </c>
      <c r="B24" s="9" t="s">
        <v>29</v>
      </c>
      <c r="C24" s="13">
        <v>961</v>
      </c>
      <c r="D24" s="13">
        <f>$C$18*(1+($G$3/7)*1)</f>
        <v>967.7714285714286</v>
      </c>
      <c r="G24" s="7" t="s">
        <v>34</v>
      </c>
    </row>
    <row r="25" spans="1:17">
      <c r="A25" s="8" t="s">
        <v>33</v>
      </c>
      <c r="B25" s="9" t="s">
        <v>30</v>
      </c>
      <c r="C25" s="13">
        <v>164</v>
      </c>
      <c r="D25" s="13">
        <f>$C$19*(1+($G$3/7)*1)</f>
        <v>144.95714285714286</v>
      </c>
    </row>
    <row r="26" spans="1:17" ht="31.5">
      <c r="A26" s="8" t="s">
        <v>33</v>
      </c>
      <c r="B26" s="9" t="s">
        <v>31</v>
      </c>
      <c r="C26" s="13">
        <v>28</v>
      </c>
      <c r="D26" s="13">
        <f>$C$20*(1+($G$3/7)*1)</f>
        <v>30.242857142857144</v>
      </c>
      <c r="G26" s="19" t="s">
        <v>22</v>
      </c>
      <c r="H26" s="20" t="s">
        <v>35</v>
      </c>
      <c r="I26" s="21" t="s">
        <v>36</v>
      </c>
      <c r="J26" s="21" t="s">
        <v>37</v>
      </c>
      <c r="K26" s="21" t="s">
        <v>3</v>
      </c>
      <c r="L26" s="20" t="s">
        <v>38</v>
      </c>
    </row>
    <row r="27" spans="1:17" ht="15.75">
      <c r="A27" s="8" t="s">
        <v>33</v>
      </c>
      <c r="B27" s="9" t="s">
        <v>32</v>
      </c>
      <c r="C27" s="13">
        <v>276</v>
      </c>
      <c r="D27" s="13">
        <f>$C$21*(1+($G$3/7)*1)</f>
        <v>261.75714285714287</v>
      </c>
      <c r="G27" s="64" t="s">
        <v>39</v>
      </c>
      <c r="H27" s="65"/>
      <c r="I27" s="65"/>
      <c r="J27" s="65"/>
      <c r="K27" s="65"/>
      <c r="L27" s="66"/>
    </row>
    <row r="28" spans="1:17" ht="15.75">
      <c r="A28" s="8" t="s">
        <v>40</v>
      </c>
      <c r="B28" s="9" t="s">
        <v>26</v>
      </c>
      <c r="C28" s="13">
        <v>255</v>
      </c>
      <c r="D28" s="13">
        <f>$C$16*(1+($G$3/7)*2)</f>
        <v>264.91428571428571</v>
      </c>
      <c r="G28" s="22" t="s">
        <v>26</v>
      </c>
      <c r="H28" s="24">
        <f>$C$16</f>
        <v>244</v>
      </c>
      <c r="I28" s="25">
        <f>D34</f>
        <v>275.37142857142857</v>
      </c>
      <c r="J28" s="25">
        <f>C34</f>
        <v>226</v>
      </c>
      <c r="K28" s="26">
        <f>J28-I28</f>
        <v>-49.371428571428567</v>
      </c>
      <c r="L28" s="23" t="str">
        <f>IF(K28&lt;0, "Not Met","Met")</f>
        <v>Not Met</v>
      </c>
    </row>
    <row r="29" spans="1:17" ht="31.5">
      <c r="A29" s="8" t="s">
        <v>40</v>
      </c>
      <c r="B29" s="9" t="s">
        <v>28</v>
      </c>
      <c r="C29" s="13">
        <v>53</v>
      </c>
      <c r="D29" s="13">
        <f>$C$17*(1+($G$3/7)*2)</f>
        <v>58.628571428571426</v>
      </c>
      <c r="G29" s="22" t="s">
        <v>41</v>
      </c>
      <c r="H29" s="24">
        <f>$C$17</f>
        <v>54</v>
      </c>
      <c r="I29" s="25">
        <f t="shared" ref="I29:I33" si="3">D35</f>
        <v>60.942857142857143</v>
      </c>
      <c r="J29" s="25">
        <f t="shared" ref="J29:J33" si="4">C35</f>
        <v>66</v>
      </c>
      <c r="K29" s="26">
        <f t="shared" ref="K29:K33" si="5">J29-I29</f>
        <v>5.0571428571428569</v>
      </c>
      <c r="L29" s="23" t="str">
        <f t="shared" ref="L29:L33" si="6">IF(K29&lt;0, "Not Met","Met")</f>
        <v>Met</v>
      </c>
    </row>
    <row r="30" spans="1:17" ht="15.75">
      <c r="A30" s="8" t="s">
        <v>40</v>
      </c>
      <c r="B30" s="9" t="s">
        <v>29</v>
      </c>
      <c r="C30" s="13">
        <v>977</v>
      </c>
      <c r="D30" s="13">
        <f>$C$18*(1+($G$3/7)*2)</f>
        <v>1007.5428571428571</v>
      </c>
      <c r="G30" s="22" t="s">
        <v>29</v>
      </c>
      <c r="H30" s="24">
        <f>$C$18</f>
        <v>928</v>
      </c>
      <c r="I30" s="25">
        <f t="shared" si="3"/>
        <v>1047.3142857142857</v>
      </c>
      <c r="J30" s="25">
        <f t="shared" si="4"/>
        <v>1116</v>
      </c>
      <c r="K30" s="26">
        <f t="shared" si="5"/>
        <v>68.685714285714312</v>
      </c>
      <c r="L30" s="23" t="str">
        <f t="shared" si="6"/>
        <v>Met</v>
      </c>
    </row>
    <row r="31" spans="1:17" ht="15.75">
      <c r="A31" s="8" t="s">
        <v>40</v>
      </c>
      <c r="B31" s="9" t="s">
        <v>30</v>
      </c>
      <c r="C31" s="13">
        <v>187</v>
      </c>
      <c r="D31" s="13">
        <f>$C$19*(1+($G$3/7)*2)</f>
        <v>150.91428571428571</v>
      </c>
      <c r="G31" s="22" t="s">
        <v>30</v>
      </c>
      <c r="H31" s="24">
        <f>$C$19</f>
        <v>139</v>
      </c>
      <c r="I31" s="25">
        <f t="shared" si="3"/>
        <v>156.87142857142857</v>
      </c>
      <c r="J31" s="25">
        <f t="shared" si="4"/>
        <v>238</v>
      </c>
      <c r="K31" s="26">
        <f t="shared" si="5"/>
        <v>81.128571428571433</v>
      </c>
      <c r="L31" s="23" t="str">
        <f t="shared" si="6"/>
        <v>Met</v>
      </c>
    </row>
    <row r="32" spans="1:17" ht="31.5">
      <c r="A32" s="8" t="s">
        <v>40</v>
      </c>
      <c r="B32" s="9" t="s">
        <v>31</v>
      </c>
      <c r="C32" s="13">
        <v>23</v>
      </c>
      <c r="D32" s="13">
        <f>$C$20*(1+($G$3/7)*2)</f>
        <v>31.485714285714284</v>
      </c>
      <c r="G32" s="22" t="s">
        <v>31</v>
      </c>
      <c r="H32" s="24">
        <f>$C$20</f>
        <v>29</v>
      </c>
      <c r="I32" s="25">
        <f t="shared" si="3"/>
        <v>32.728571428571428</v>
      </c>
      <c r="J32" s="25">
        <f t="shared" si="4"/>
        <v>26</v>
      </c>
      <c r="K32" s="26">
        <f t="shared" si="5"/>
        <v>-6.7285714285714278</v>
      </c>
      <c r="L32" s="23" t="str">
        <f t="shared" si="6"/>
        <v>Not Met</v>
      </c>
    </row>
    <row r="33" spans="1:12" ht="15.75">
      <c r="A33" s="8" t="s">
        <v>40</v>
      </c>
      <c r="B33" s="9" t="s">
        <v>32</v>
      </c>
      <c r="C33" s="13">
        <v>247</v>
      </c>
      <c r="D33" s="13">
        <f>$C$21*(1+($G$3/7)*2)</f>
        <v>272.51428571428568</v>
      </c>
      <c r="G33" s="22" t="s">
        <v>32</v>
      </c>
      <c r="H33" s="24">
        <f>$C$21</f>
        <v>251</v>
      </c>
      <c r="I33" s="25">
        <f t="shared" si="3"/>
        <v>283.27142857142854</v>
      </c>
      <c r="J33" s="25">
        <f t="shared" si="4"/>
        <v>302</v>
      </c>
      <c r="K33" s="26">
        <f t="shared" si="5"/>
        <v>18.728571428571456</v>
      </c>
      <c r="L33" s="23" t="str">
        <f t="shared" si="6"/>
        <v>Met</v>
      </c>
    </row>
    <row r="34" spans="1:12" ht="15.75">
      <c r="A34" s="8" t="s">
        <v>42</v>
      </c>
      <c r="B34" s="9" t="s">
        <v>26</v>
      </c>
      <c r="C34" s="13">
        <v>226</v>
      </c>
      <c r="D34" s="13">
        <f>$C$16*(1+($G$3/7)*3)</f>
        <v>275.37142857142857</v>
      </c>
      <c r="G34" s="64" t="s">
        <v>43</v>
      </c>
      <c r="H34" s="65"/>
      <c r="I34" s="65"/>
      <c r="J34" s="65"/>
      <c r="K34" s="65"/>
      <c r="L34" s="66"/>
    </row>
    <row r="35" spans="1:12" ht="15.75">
      <c r="A35" s="8" t="s">
        <v>42</v>
      </c>
      <c r="B35" s="9" t="s">
        <v>28</v>
      </c>
      <c r="C35" s="13">
        <v>66</v>
      </c>
      <c r="D35" s="13">
        <f>$C$17*(1+($G$3/7)*3)</f>
        <v>60.942857142857143</v>
      </c>
      <c r="G35" s="22" t="s">
        <v>44</v>
      </c>
      <c r="H35" s="24">
        <f>$D$41</f>
        <v>955</v>
      </c>
      <c r="I35" s="25">
        <f>D53</f>
        <v>1077.7857142857142</v>
      </c>
      <c r="J35" s="25">
        <f>C53</f>
        <v>1099</v>
      </c>
      <c r="K35" s="26">
        <f>J35-I35</f>
        <v>21.214285714285779</v>
      </c>
      <c r="L35" s="23" t="str">
        <f>IF(K35&lt;0, "Not Met","Met")</f>
        <v>Met</v>
      </c>
    </row>
    <row r="36" spans="1:12" ht="15.75">
      <c r="A36" s="8" t="s">
        <v>42</v>
      </c>
      <c r="B36" s="9" t="s">
        <v>29</v>
      </c>
      <c r="C36" s="13">
        <v>1116</v>
      </c>
      <c r="D36" s="13">
        <f>$C$18*(1+($G$3/7)*3)</f>
        <v>1047.3142857142857</v>
      </c>
      <c r="G36" s="22" t="s">
        <v>45</v>
      </c>
      <c r="H36" s="24">
        <f>$D$42</f>
        <v>629</v>
      </c>
      <c r="I36" s="25">
        <f t="shared" ref="I36:I38" si="7">D54</f>
        <v>709.87142857142851</v>
      </c>
      <c r="J36" s="25">
        <f t="shared" ref="J36:J38" si="8">C54</f>
        <v>776</v>
      </c>
      <c r="K36" s="26">
        <f t="shared" ref="K36:K38" si="9">J36-I36</f>
        <v>66.12857142857149</v>
      </c>
      <c r="L36" s="23" t="str">
        <f t="shared" ref="L36:L38" si="10">IF(K36&lt;0, "Not Met","Met")</f>
        <v>Met</v>
      </c>
    </row>
    <row r="37" spans="1:12" ht="15.75">
      <c r="A37" s="8" t="s">
        <v>42</v>
      </c>
      <c r="B37" s="9" t="s">
        <v>30</v>
      </c>
      <c r="C37" s="13">
        <v>238</v>
      </c>
      <c r="D37" s="13">
        <f>$C$19*(1+($G$3/7)*3)</f>
        <v>156.87142857142857</v>
      </c>
      <c r="G37" s="22" t="s">
        <v>46</v>
      </c>
      <c r="H37" s="24">
        <f>$D$43</f>
        <v>18</v>
      </c>
      <c r="I37" s="25">
        <f t="shared" si="7"/>
        <v>20.314285714285713</v>
      </c>
      <c r="J37" s="25">
        <f t="shared" si="8"/>
        <v>36</v>
      </c>
      <c r="K37" s="26">
        <f t="shared" si="9"/>
        <v>15.685714285714287</v>
      </c>
      <c r="L37" s="23" t="str">
        <f t="shared" si="10"/>
        <v>Met</v>
      </c>
    </row>
    <row r="38" spans="1:12" ht="15.75">
      <c r="A38" s="8" t="s">
        <v>42</v>
      </c>
      <c r="B38" s="9" t="s">
        <v>31</v>
      </c>
      <c r="C38" s="13">
        <v>26</v>
      </c>
      <c r="D38" s="13">
        <f>$C$20*(1+($G$3/7)*3)</f>
        <v>32.728571428571428</v>
      </c>
      <c r="G38" s="22" t="s">
        <v>47</v>
      </c>
      <c r="H38" s="24">
        <f>$D$44</f>
        <v>67</v>
      </c>
      <c r="I38" s="25">
        <f t="shared" si="7"/>
        <v>75.614285714285714</v>
      </c>
      <c r="J38" s="25">
        <f t="shared" si="8"/>
        <v>73</v>
      </c>
      <c r="K38" s="26">
        <f t="shared" si="9"/>
        <v>-2.6142857142857139</v>
      </c>
      <c r="L38" s="23" t="str">
        <f t="shared" si="10"/>
        <v>Not Met</v>
      </c>
    </row>
    <row r="39" spans="1:12" ht="15.75">
      <c r="A39" s="10" t="s">
        <v>42</v>
      </c>
      <c r="B39" s="11" t="s">
        <v>32</v>
      </c>
      <c r="C39" s="13">
        <v>302</v>
      </c>
      <c r="D39" s="13">
        <f>$C$21*(1+($G$3/7)*3)</f>
        <v>283.27142857142854</v>
      </c>
      <c r="G39" s="64" t="s">
        <v>48</v>
      </c>
      <c r="H39" s="65"/>
      <c r="I39" s="65"/>
      <c r="J39" s="65"/>
      <c r="K39" s="65"/>
      <c r="L39" s="66"/>
    </row>
    <row r="40" spans="1:12" ht="31.5">
      <c r="A40" s="7" t="s">
        <v>0</v>
      </c>
      <c r="B40" s="7" t="s">
        <v>22</v>
      </c>
      <c r="C40" s="7" t="s">
        <v>23</v>
      </c>
      <c r="D40" s="13"/>
      <c r="G40" s="22" t="s">
        <v>49</v>
      </c>
      <c r="H40" s="24">
        <f>$D$58</f>
        <v>627</v>
      </c>
      <c r="I40" s="25">
        <f>D67</f>
        <v>707.61428571428576</v>
      </c>
      <c r="J40" s="25">
        <f>C67</f>
        <v>676</v>
      </c>
      <c r="K40" s="26">
        <f>J40-I40</f>
        <v>-31.614285714285757</v>
      </c>
      <c r="L40" s="23" t="str">
        <f>IF(K40&lt;0, "Not Met","Met")</f>
        <v>Not Met</v>
      </c>
    </row>
    <row r="41" spans="1:12" ht="47.25">
      <c r="A41" s="8" t="s">
        <v>25</v>
      </c>
      <c r="B41" s="9" t="s">
        <v>44</v>
      </c>
      <c r="C41" s="12">
        <v>955</v>
      </c>
      <c r="D41" s="13">
        <f t="shared" ref="D41:D44" si="11">C41</f>
        <v>955</v>
      </c>
      <c r="F41" s="5" t="s">
        <v>27</v>
      </c>
      <c r="G41" s="22" t="s">
        <v>50</v>
      </c>
      <c r="H41" s="24">
        <f>$D$59</f>
        <v>924</v>
      </c>
      <c r="I41" s="25">
        <f>D68</f>
        <v>1042.8</v>
      </c>
      <c r="J41" s="25">
        <f>C68</f>
        <v>1154</v>
      </c>
      <c r="K41" s="26">
        <f t="shared" ref="K41:K42" si="12">J41-I41</f>
        <v>111.20000000000005</v>
      </c>
      <c r="L41" s="23" t="str">
        <f t="shared" ref="L41:L42" si="13">IF(K41&lt;0, "Not Met","Met")</f>
        <v>Met</v>
      </c>
    </row>
    <row r="42" spans="1:12" ht="15.75">
      <c r="A42" s="8" t="s">
        <v>25</v>
      </c>
      <c r="B42" s="9" t="s">
        <v>45</v>
      </c>
      <c r="C42" s="12">
        <v>629</v>
      </c>
      <c r="D42" s="13">
        <f t="shared" si="11"/>
        <v>629</v>
      </c>
      <c r="F42" s="5" t="s">
        <v>27</v>
      </c>
      <c r="G42" s="22" t="s">
        <v>47</v>
      </c>
      <c r="H42" s="24">
        <f>$D$60</f>
        <v>118</v>
      </c>
      <c r="I42" s="25">
        <f>D69</f>
        <v>133.17142857142858</v>
      </c>
      <c r="J42" s="25">
        <f>C69</f>
        <v>154</v>
      </c>
      <c r="K42" s="26">
        <f t="shared" si="12"/>
        <v>20.828571428571422</v>
      </c>
      <c r="L42" s="23" t="str">
        <f t="shared" si="13"/>
        <v>Met</v>
      </c>
    </row>
    <row r="43" spans="1:12">
      <c r="A43" s="8" t="s">
        <v>25</v>
      </c>
      <c r="B43" s="9" t="s">
        <v>46</v>
      </c>
      <c r="C43" s="12">
        <v>18</v>
      </c>
      <c r="D43" s="13">
        <f t="shared" si="11"/>
        <v>18</v>
      </c>
      <c r="F43" s="5" t="s">
        <v>27</v>
      </c>
      <c r="G43" s="14" t="s">
        <v>51</v>
      </c>
    </row>
    <row r="44" spans="1:12">
      <c r="A44" s="8" t="s">
        <v>25</v>
      </c>
      <c r="B44" s="9" t="s">
        <v>47</v>
      </c>
      <c r="C44" s="12">
        <v>67</v>
      </c>
      <c r="D44" s="13">
        <f t="shared" si="11"/>
        <v>67</v>
      </c>
      <c r="F44" s="5" t="s">
        <v>27</v>
      </c>
    </row>
    <row r="45" spans="1:12">
      <c r="A45" s="8" t="s">
        <v>33</v>
      </c>
      <c r="B45" s="9" t="s">
        <v>44</v>
      </c>
      <c r="C45" s="12">
        <v>995</v>
      </c>
      <c r="D45" s="13">
        <f>$C$41*(1+($G$3/7)*1)</f>
        <v>995.92857142857144</v>
      </c>
    </row>
    <row r="46" spans="1:12">
      <c r="A46" s="8" t="s">
        <v>33</v>
      </c>
      <c r="B46" s="9" t="s">
        <v>45</v>
      </c>
      <c r="C46" s="12">
        <v>648</v>
      </c>
      <c r="D46" s="13">
        <f>$C$42*(1+($G$3/7)*1)</f>
        <v>655.95714285714291</v>
      </c>
    </row>
    <row r="47" spans="1:12">
      <c r="A47" s="8" t="s">
        <v>33</v>
      </c>
      <c r="B47" s="9" t="s">
        <v>46</v>
      </c>
      <c r="C47" s="12">
        <v>21</v>
      </c>
      <c r="D47" s="13">
        <f>$C$43*(1+($G$3/7)*1)</f>
        <v>18.771428571428572</v>
      </c>
    </row>
    <row r="48" spans="1:12">
      <c r="A48" s="8" t="s">
        <v>33</v>
      </c>
      <c r="B48" s="9" t="s">
        <v>47</v>
      </c>
      <c r="C48" s="12">
        <v>67</v>
      </c>
      <c r="D48" s="13">
        <f>$C$44*(1+($G$3/7)*1)</f>
        <v>69.871428571428581</v>
      </c>
    </row>
    <row r="49" spans="1:6">
      <c r="A49" s="8" t="s">
        <v>40</v>
      </c>
      <c r="B49" s="9" t="s">
        <v>44</v>
      </c>
      <c r="C49" s="12">
        <v>994</v>
      </c>
      <c r="D49" s="13">
        <f>$C$41*(1+($G$3/7)*2)</f>
        <v>1036.8571428571429</v>
      </c>
    </row>
    <row r="50" spans="1:6">
      <c r="A50" s="8" t="s">
        <v>40</v>
      </c>
      <c r="B50" s="9" t="s">
        <v>45</v>
      </c>
      <c r="C50" s="12">
        <v>684</v>
      </c>
      <c r="D50" s="13">
        <f>$C$42*(1+($G$3/7)*2)</f>
        <v>682.91428571428571</v>
      </c>
    </row>
    <row r="51" spans="1:6">
      <c r="A51" s="8" t="s">
        <v>40</v>
      </c>
      <c r="B51" s="9" t="s">
        <v>46</v>
      </c>
      <c r="C51" s="12">
        <v>27</v>
      </c>
      <c r="D51" s="13">
        <f>$C$43*(1+($G$3/7)*2)</f>
        <v>19.542857142857141</v>
      </c>
    </row>
    <row r="52" spans="1:6">
      <c r="A52" s="8" t="s">
        <v>40</v>
      </c>
      <c r="B52" s="9" t="s">
        <v>47</v>
      </c>
      <c r="C52" s="12">
        <v>56</v>
      </c>
      <c r="D52" s="13">
        <f>$C$44*(1+($G$3/7)*2)</f>
        <v>72.742857142857133</v>
      </c>
    </row>
    <row r="53" spans="1:6">
      <c r="A53" s="8" t="s">
        <v>42</v>
      </c>
      <c r="B53" s="9" t="s">
        <v>44</v>
      </c>
      <c r="C53" s="12">
        <v>1099</v>
      </c>
      <c r="D53" s="13">
        <f>$C$41*(1+($G$3/7)*3)</f>
        <v>1077.7857142857142</v>
      </c>
    </row>
    <row r="54" spans="1:6">
      <c r="A54" s="8" t="s">
        <v>42</v>
      </c>
      <c r="B54" s="9" t="s">
        <v>45</v>
      </c>
      <c r="C54" s="12">
        <v>776</v>
      </c>
      <c r="D54" s="13">
        <f>$C$42*(1+($G$3/7)*3)</f>
        <v>709.87142857142851</v>
      </c>
    </row>
    <row r="55" spans="1:6">
      <c r="A55" s="8" t="s">
        <v>42</v>
      </c>
      <c r="B55" s="9" t="s">
        <v>46</v>
      </c>
      <c r="C55" s="12">
        <v>36</v>
      </c>
      <c r="D55" s="13">
        <f>$C$43*(1+($G$3/7)*3)</f>
        <v>20.314285714285713</v>
      </c>
    </row>
    <row r="56" spans="1:6">
      <c r="A56" s="10" t="s">
        <v>42</v>
      </c>
      <c r="B56" s="11" t="s">
        <v>47</v>
      </c>
      <c r="C56" s="4">
        <v>73</v>
      </c>
      <c r="D56" s="13">
        <f>$C$44*(1+($G$3/7)*3)</f>
        <v>75.614285714285714</v>
      </c>
    </row>
    <row r="57" spans="1:6" ht="15">
      <c r="A57" s="7" t="s">
        <v>0</v>
      </c>
      <c r="B57" s="7" t="s">
        <v>22</v>
      </c>
      <c r="C57" s="7" t="s">
        <v>23</v>
      </c>
      <c r="D57" s="13"/>
    </row>
    <row r="58" spans="1:6">
      <c r="A58" s="8" t="s">
        <v>25</v>
      </c>
      <c r="B58" s="9" t="s">
        <v>49</v>
      </c>
      <c r="C58" s="12">
        <v>627</v>
      </c>
      <c r="D58" s="13">
        <f t="shared" ref="D58:D60" si="14">C58</f>
        <v>627</v>
      </c>
      <c r="F58" s="5" t="s">
        <v>27</v>
      </c>
    </row>
    <row r="59" spans="1:6">
      <c r="A59" s="8" t="s">
        <v>25</v>
      </c>
      <c r="B59" s="9" t="s">
        <v>50</v>
      </c>
      <c r="C59" s="12">
        <v>924</v>
      </c>
      <c r="D59" s="13">
        <f t="shared" si="14"/>
        <v>924</v>
      </c>
      <c r="F59" s="5" t="s">
        <v>27</v>
      </c>
    </row>
    <row r="60" spans="1:6">
      <c r="A60" s="8" t="s">
        <v>25</v>
      </c>
      <c r="B60" s="9" t="s">
        <v>47</v>
      </c>
      <c r="C60" s="12">
        <v>118</v>
      </c>
      <c r="D60" s="13">
        <f t="shared" si="14"/>
        <v>118</v>
      </c>
      <c r="F60" s="5" t="s">
        <v>27</v>
      </c>
    </row>
    <row r="61" spans="1:6">
      <c r="A61" s="8" t="s">
        <v>33</v>
      </c>
      <c r="B61" s="9" t="s">
        <v>49</v>
      </c>
      <c r="C61" s="12">
        <v>669</v>
      </c>
      <c r="D61" s="13">
        <f>$C$58*(1+($G$3/7)*1)</f>
        <v>653.87142857142862</v>
      </c>
    </row>
    <row r="62" spans="1:6">
      <c r="A62" s="8" t="s">
        <v>33</v>
      </c>
      <c r="B62" s="9" t="s">
        <v>50</v>
      </c>
      <c r="C62" s="12">
        <v>941</v>
      </c>
      <c r="D62" s="13">
        <f>$C$59*(1+($G$3/7)*1)</f>
        <v>963.6</v>
      </c>
    </row>
    <row r="63" spans="1:6">
      <c r="A63" s="8" t="s">
        <v>33</v>
      </c>
      <c r="B63" s="9" t="s">
        <v>47</v>
      </c>
      <c r="C63" s="12">
        <v>121</v>
      </c>
      <c r="D63" s="13">
        <f>$C$60*(1+($G$3/7)*1)</f>
        <v>123.05714285714286</v>
      </c>
    </row>
    <row r="64" spans="1:6">
      <c r="A64" s="8" t="s">
        <v>40</v>
      </c>
      <c r="B64" s="9" t="s">
        <v>49</v>
      </c>
      <c r="C64" s="12">
        <v>624</v>
      </c>
      <c r="D64" s="13">
        <f>$C$58*(1+($G$3/7)*2)</f>
        <v>680.74285714285713</v>
      </c>
    </row>
    <row r="65" spans="1:4">
      <c r="A65" s="8" t="s">
        <v>40</v>
      </c>
      <c r="B65" s="9" t="s">
        <v>50</v>
      </c>
      <c r="C65" s="12">
        <v>1006</v>
      </c>
      <c r="D65" s="13">
        <f>$C$59*(1+($G$3/7)*2)</f>
        <v>1003.1999999999999</v>
      </c>
    </row>
    <row r="66" spans="1:4">
      <c r="A66" s="8" t="s">
        <v>40</v>
      </c>
      <c r="B66" s="9" t="s">
        <v>47</v>
      </c>
      <c r="C66" s="12">
        <v>131</v>
      </c>
      <c r="D66" s="13">
        <f>$C$60*(1+($G$3/7)*2)</f>
        <v>128.1142857142857</v>
      </c>
    </row>
    <row r="67" spans="1:4">
      <c r="A67" s="8" t="s">
        <v>42</v>
      </c>
      <c r="B67" s="9" t="s">
        <v>49</v>
      </c>
      <c r="C67" s="12">
        <v>676</v>
      </c>
      <c r="D67" s="13">
        <f>$C$58*(1+($G$3/7)*3)</f>
        <v>707.61428571428576</v>
      </c>
    </row>
    <row r="68" spans="1:4">
      <c r="A68" s="8" t="s">
        <v>42</v>
      </c>
      <c r="B68" s="9" t="s">
        <v>50</v>
      </c>
      <c r="C68" s="12">
        <v>1154</v>
      </c>
      <c r="D68" s="13">
        <f>$C$59*(1+($G$3/7)*3)</f>
        <v>1042.8</v>
      </c>
    </row>
    <row r="69" spans="1:4">
      <c r="A69" s="10" t="s">
        <v>42</v>
      </c>
      <c r="B69" s="11" t="s">
        <v>47</v>
      </c>
      <c r="C69" s="4">
        <v>154</v>
      </c>
      <c r="D69" s="13">
        <f>$C$60*(1+($G$3/7)*3)</f>
        <v>133.17142857142858</v>
      </c>
    </row>
  </sheetData>
  <mergeCells count="7">
    <mergeCell ref="G34:L34"/>
    <mergeCell ref="G39:L39"/>
    <mergeCell ref="A12:G12"/>
    <mergeCell ref="I21:Q22"/>
    <mergeCell ref="B13:F13"/>
    <mergeCell ref="B14:F14"/>
    <mergeCell ref="G27:L27"/>
  </mergeCells>
  <conditionalFormatting sqref="L26 L28:L33">
    <cfRule type="beginsWith" dxfId="51" priority="5" operator="beginsWith" text="Met">
      <formula>LEFT(L26,LEN("Met"))="Met"</formula>
    </cfRule>
    <cfRule type="beginsWith" dxfId="50" priority="7" operator="beginsWith" text="Not Met">
      <formula>LEFT(L26,LEN("Not Met"))="Not Met"</formula>
    </cfRule>
  </conditionalFormatting>
  <conditionalFormatting sqref="L35:L38">
    <cfRule type="beginsWith" dxfId="49" priority="3" operator="beginsWith" text="Met">
      <formula>LEFT(L35,LEN("Met"))="Met"</formula>
    </cfRule>
    <cfRule type="beginsWith" dxfId="48" priority="4" operator="beginsWith" text="Not Met">
      <formula>LEFT(L35,LEN("Not Met"))="Not Met"</formula>
    </cfRule>
  </conditionalFormatting>
  <conditionalFormatting sqref="L40:L42">
    <cfRule type="beginsWith" dxfId="47" priority="1" operator="beginsWith" text="Met">
      <formula>LEFT(L40,LEN("Met"))="Met"</formula>
    </cfRule>
    <cfRule type="beginsWith" dxfId="46" priority="2" operator="beginsWith" text="Not Met">
      <formula>LEFT(L40,LEN("Not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551E-D7E4-4BE0-8E13-A7959138242E}">
  <dimension ref="A1:Q69"/>
  <sheetViews>
    <sheetView tabSelected="1" topLeftCell="A12" workbookViewId="0">
      <selection activeCell="R30" sqref="R30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1621</v>
      </c>
      <c r="C2" s="1">
        <f>$G$2</f>
        <v>1621</v>
      </c>
      <c r="D2" s="3" t="s">
        <v>7</v>
      </c>
      <c r="F2" t="s">
        <v>8</v>
      </c>
      <c r="G2" s="1">
        <f>B2</f>
        <v>1621</v>
      </c>
    </row>
    <row r="3" spans="1:7">
      <c r="A3" t="s">
        <v>9</v>
      </c>
      <c r="B3" s="28">
        <v>1624</v>
      </c>
      <c r="C3" s="1">
        <f t="shared" ref="C3:C9" si="0">$G$2*(1+$G$3*(ROW()-ROW($C$2))/$G$4)</f>
        <v>1690.4714285714288</v>
      </c>
      <c r="D3" s="18">
        <f t="shared" ref="D3:D9" si="1">B3-C3</f>
        <v>-66.47142857142876</v>
      </c>
      <c r="F3" t="s">
        <v>10</v>
      </c>
      <c r="G3" s="15">
        <v>0.3</v>
      </c>
    </row>
    <row r="4" spans="1:7">
      <c r="A4" t="s">
        <v>11</v>
      </c>
      <c r="B4" s="28">
        <v>1723</v>
      </c>
      <c r="C4" s="1">
        <f t="shared" si="0"/>
        <v>1759.9428571428571</v>
      </c>
      <c r="D4" s="18">
        <f t="shared" si="1"/>
        <v>-36.942857142857065</v>
      </c>
      <c r="F4" t="s">
        <v>12</v>
      </c>
      <c r="G4">
        <v>7</v>
      </c>
    </row>
    <row r="5" spans="1:7">
      <c r="A5" t="s">
        <v>13</v>
      </c>
      <c r="B5" s="28">
        <v>1729</v>
      </c>
      <c r="C5" s="1">
        <f t="shared" si="0"/>
        <v>1829.4142857142856</v>
      </c>
      <c r="D5" s="18">
        <f t="shared" si="1"/>
        <v>-100.4142857142856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29">
        <f t="shared" si="0"/>
        <v>1898.8857142857144</v>
      </c>
      <c r="D6" s="18">
        <f t="shared" si="1"/>
        <v>-1898.8857142857144</v>
      </c>
      <c r="F6" t="s">
        <v>10</v>
      </c>
      <c r="G6" s="17">
        <f>($G$2*G3)+G2</f>
        <v>2107.3000000000002</v>
      </c>
    </row>
    <row r="7" spans="1:7">
      <c r="A7" t="s">
        <v>16</v>
      </c>
      <c r="B7" s="1"/>
      <c r="C7" s="1">
        <f t="shared" si="0"/>
        <v>1968.3571428571427</v>
      </c>
      <c r="D7" s="18">
        <f t="shared" si="1"/>
        <v>-1968.3571428571427</v>
      </c>
    </row>
    <row r="8" spans="1:7">
      <c r="A8" t="s">
        <v>17</v>
      </c>
      <c r="B8" s="1"/>
      <c r="C8" s="1">
        <f t="shared" si="0"/>
        <v>2037.8285714285714</v>
      </c>
      <c r="D8" s="18">
        <f t="shared" si="1"/>
        <v>-2037.8285714285714</v>
      </c>
      <c r="F8" t="s">
        <v>18</v>
      </c>
    </row>
    <row r="9" spans="1:7">
      <c r="A9" t="s">
        <v>19</v>
      </c>
      <c r="B9" s="1"/>
      <c r="C9" s="1">
        <f t="shared" si="0"/>
        <v>2107.3000000000002</v>
      </c>
      <c r="D9" s="18">
        <f t="shared" si="1"/>
        <v>-2107.3000000000002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22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26</v>
      </c>
      <c r="C16" s="13">
        <v>246</v>
      </c>
      <c r="D16" s="13">
        <f t="shared" ref="D16:D21" si="2">C16</f>
        <v>246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28</v>
      </c>
      <c r="C17" s="13">
        <v>35</v>
      </c>
      <c r="D17" s="13">
        <f t="shared" si="2"/>
        <v>35</v>
      </c>
      <c r="E17" s="5"/>
      <c r="F17" s="5" t="s">
        <v>27</v>
      </c>
    </row>
    <row r="18" spans="1:17">
      <c r="A18" s="8" t="s">
        <v>25</v>
      </c>
      <c r="B18" s="9" t="s">
        <v>29</v>
      </c>
      <c r="C18" s="13">
        <v>930</v>
      </c>
      <c r="D18" s="13">
        <f t="shared" si="2"/>
        <v>930</v>
      </c>
      <c r="F18" s="5" t="s">
        <v>27</v>
      </c>
    </row>
    <row r="19" spans="1:17">
      <c r="A19" s="8" t="s">
        <v>25</v>
      </c>
      <c r="B19" s="9" t="s">
        <v>30</v>
      </c>
      <c r="C19" s="13">
        <v>128</v>
      </c>
      <c r="D19" s="13">
        <f t="shared" si="2"/>
        <v>128</v>
      </c>
      <c r="F19" s="5" t="s">
        <v>27</v>
      </c>
    </row>
    <row r="20" spans="1:17">
      <c r="A20" s="8" t="s">
        <v>25</v>
      </c>
      <c r="B20" s="9" t="s">
        <v>31</v>
      </c>
      <c r="C20" s="13">
        <v>25</v>
      </c>
      <c r="D20" s="13">
        <f t="shared" si="2"/>
        <v>25</v>
      </c>
      <c r="F20" s="5" t="s">
        <v>27</v>
      </c>
    </row>
    <row r="21" spans="1:17">
      <c r="A21" s="8" t="s">
        <v>25</v>
      </c>
      <c r="B21" s="9" t="s">
        <v>32</v>
      </c>
      <c r="C21" s="13">
        <v>236</v>
      </c>
      <c r="D21" s="13">
        <f t="shared" si="2"/>
        <v>236</v>
      </c>
      <c r="F21" s="5" t="s">
        <v>27</v>
      </c>
      <c r="I21" s="68"/>
      <c r="J21" s="70"/>
      <c r="K21" s="70"/>
      <c r="L21" s="70"/>
      <c r="M21" s="70"/>
      <c r="N21" s="70"/>
      <c r="O21" s="70"/>
      <c r="P21" s="70"/>
      <c r="Q21" s="70"/>
    </row>
    <row r="22" spans="1:17">
      <c r="A22" s="8" t="s">
        <v>33</v>
      </c>
      <c r="B22" s="9" t="s">
        <v>26</v>
      </c>
      <c r="C22" s="13">
        <v>265</v>
      </c>
      <c r="D22" s="13">
        <f>$C$16*(1+($G$3/7)*1)</f>
        <v>256.54285714285714</v>
      </c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8" t="s">
        <v>33</v>
      </c>
      <c r="B23" s="9" t="s">
        <v>28</v>
      </c>
      <c r="C23" s="13">
        <v>28</v>
      </c>
      <c r="D23" s="13">
        <f>$C$17*(1+($G$3/7)*1)</f>
        <v>36.5</v>
      </c>
    </row>
    <row r="24" spans="1:17" ht="15">
      <c r="A24" s="8" t="s">
        <v>33</v>
      </c>
      <c r="B24" s="9" t="s">
        <v>29</v>
      </c>
      <c r="C24" s="13">
        <v>901</v>
      </c>
      <c r="D24" s="13">
        <f>$C$18*(1+($G$3/7)*1)</f>
        <v>969.85714285714289</v>
      </c>
      <c r="G24" s="7" t="s">
        <v>34</v>
      </c>
    </row>
    <row r="25" spans="1:17">
      <c r="A25" s="8" t="s">
        <v>33</v>
      </c>
      <c r="B25" s="9" t="s">
        <v>30</v>
      </c>
      <c r="C25" s="13">
        <v>162</v>
      </c>
      <c r="D25" s="13">
        <f>$C$19*(1+($G$3/7)*1)</f>
        <v>133.48571428571429</v>
      </c>
    </row>
    <row r="26" spans="1:17" ht="31.5">
      <c r="A26" s="8" t="s">
        <v>33</v>
      </c>
      <c r="B26" s="9" t="s">
        <v>31</v>
      </c>
      <c r="C26" s="13">
        <v>19</v>
      </c>
      <c r="D26" s="13">
        <f>$C$20*(1+($G$3/7)*1)</f>
        <v>26.071428571428573</v>
      </c>
      <c r="G26" s="19" t="s">
        <v>22</v>
      </c>
      <c r="H26" s="20" t="s">
        <v>35</v>
      </c>
      <c r="I26" s="21" t="s">
        <v>36</v>
      </c>
      <c r="J26" s="21" t="s">
        <v>37</v>
      </c>
      <c r="K26" s="21" t="s">
        <v>3</v>
      </c>
      <c r="L26" s="20" t="s">
        <v>38</v>
      </c>
    </row>
    <row r="27" spans="1:17" ht="15.75">
      <c r="A27" s="8" t="s">
        <v>33</v>
      </c>
      <c r="B27" s="9" t="s">
        <v>32</v>
      </c>
      <c r="C27" s="13">
        <v>227</v>
      </c>
      <c r="D27" s="13">
        <f>$C$21*(1+($G$3/7)*1)</f>
        <v>246.11428571428573</v>
      </c>
      <c r="G27" s="64" t="s">
        <v>39</v>
      </c>
      <c r="H27" s="65"/>
      <c r="I27" s="65"/>
      <c r="J27" s="65"/>
      <c r="K27" s="65"/>
      <c r="L27" s="66"/>
    </row>
    <row r="28" spans="1:17" ht="15.75">
      <c r="A28" s="8" t="s">
        <v>40</v>
      </c>
      <c r="B28" s="9" t="s">
        <v>26</v>
      </c>
      <c r="C28" s="13">
        <v>291</v>
      </c>
      <c r="D28" s="13">
        <f>$C$16*(1+($G$3/7)*2)</f>
        <v>267.08571428571429</v>
      </c>
      <c r="G28" s="22" t="s">
        <v>26</v>
      </c>
      <c r="H28" s="24">
        <f>$C$16</f>
        <v>246</v>
      </c>
      <c r="I28" s="25">
        <f t="shared" ref="I28:I33" si="3">D34</f>
        <v>277.62857142857143</v>
      </c>
      <c r="J28" s="25">
        <f t="shared" ref="J28:J33" si="4">C34</f>
        <v>262</v>
      </c>
      <c r="K28" s="26">
        <f t="shared" ref="K28:K33" si="5">J28-I28</f>
        <v>-15.628571428571433</v>
      </c>
      <c r="L28" s="23" t="str">
        <f t="shared" ref="L28:L33" si="6">IF(K28&lt;0, "Not Met","Met")</f>
        <v>Not Met</v>
      </c>
    </row>
    <row r="29" spans="1:17" ht="31.5">
      <c r="A29" s="8" t="s">
        <v>40</v>
      </c>
      <c r="B29" s="9" t="s">
        <v>28</v>
      </c>
      <c r="C29" s="13">
        <v>31</v>
      </c>
      <c r="D29" s="13">
        <f>$C$17*(1+($G$3/7)*2)</f>
        <v>38</v>
      </c>
      <c r="G29" s="22" t="s">
        <v>41</v>
      </c>
      <c r="H29" s="24">
        <f>$C$17</f>
        <v>35</v>
      </c>
      <c r="I29" s="25">
        <f t="shared" si="3"/>
        <v>39.5</v>
      </c>
      <c r="J29" s="25">
        <f t="shared" si="4"/>
        <v>40</v>
      </c>
      <c r="K29" s="26">
        <f>J29-I29</f>
        <v>0.5</v>
      </c>
      <c r="L29" s="23" t="str">
        <f t="shared" si="6"/>
        <v>Met</v>
      </c>
    </row>
    <row r="30" spans="1:17" ht="15.75">
      <c r="A30" s="8" t="s">
        <v>40</v>
      </c>
      <c r="B30" s="9" t="s">
        <v>29</v>
      </c>
      <c r="C30" s="13">
        <v>971</v>
      </c>
      <c r="D30" s="13">
        <f>$C$18*(1+($G$3/7)*2)</f>
        <v>1009.7142857142857</v>
      </c>
      <c r="G30" s="22" t="s">
        <v>29</v>
      </c>
      <c r="H30" s="24">
        <f>$C$18</f>
        <v>930</v>
      </c>
      <c r="I30" s="25">
        <f t="shared" si="3"/>
        <v>1049.5714285714287</v>
      </c>
      <c r="J30" s="25">
        <f>C36</f>
        <v>970</v>
      </c>
      <c r="K30" s="26">
        <f t="shared" si="5"/>
        <v>-79.571428571428669</v>
      </c>
      <c r="L30" s="23" t="str">
        <f t="shared" si="6"/>
        <v>Not Met</v>
      </c>
    </row>
    <row r="31" spans="1:17" ht="15.75">
      <c r="A31" s="8" t="s">
        <v>40</v>
      </c>
      <c r="B31" s="9" t="s">
        <v>30</v>
      </c>
      <c r="C31" s="13">
        <v>176</v>
      </c>
      <c r="D31" s="13">
        <f>$C$19*(1+($G$3/7)*2)</f>
        <v>138.97142857142856</v>
      </c>
      <c r="G31" s="22" t="s">
        <v>30</v>
      </c>
      <c r="H31" s="24">
        <f>$C$19</f>
        <v>128</v>
      </c>
      <c r="I31" s="25">
        <f t="shared" si="3"/>
        <v>144.45714285714286</v>
      </c>
      <c r="J31" s="25">
        <f t="shared" si="4"/>
        <v>191</v>
      </c>
      <c r="K31" s="26">
        <f t="shared" si="5"/>
        <v>46.542857142857144</v>
      </c>
      <c r="L31" s="23" t="str">
        <f t="shared" si="6"/>
        <v>Met</v>
      </c>
    </row>
    <row r="32" spans="1:17" ht="31.5">
      <c r="A32" s="8" t="s">
        <v>40</v>
      </c>
      <c r="B32" s="9" t="s">
        <v>31</v>
      </c>
      <c r="C32" s="13">
        <v>27</v>
      </c>
      <c r="D32" s="13">
        <f>$C$20*(1+($G$3/7)*2)</f>
        <v>27.142857142857142</v>
      </c>
      <c r="G32" s="22" t="s">
        <v>31</v>
      </c>
      <c r="H32" s="24">
        <f>$C$20</f>
        <v>25</v>
      </c>
      <c r="I32" s="25">
        <f t="shared" si="3"/>
        <v>28.214285714285715</v>
      </c>
      <c r="J32" s="25">
        <f t="shared" si="4"/>
        <v>20</v>
      </c>
      <c r="K32" s="26">
        <f t="shared" si="5"/>
        <v>-8.2142857142857153</v>
      </c>
      <c r="L32" s="23" t="str">
        <f t="shared" si="6"/>
        <v>Not Met</v>
      </c>
    </row>
    <row r="33" spans="1:12" ht="15.75">
      <c r="A33" s="8" t="s">
        <v>40</v>
      </c>
      <c r="B33" s="9" t="s">
        <v>32</v>
      </c>
      <c r="C33" s="13">
        <v>213</v>
      </c>
      <c r="D33" s="13">
        <f>$C$21*(1+($G$3/7)*2)</f>
        <v>256.2285714285714</v>
      </c>
      <c r="G33" s="22" t="s">
        <v>32</v>
      </c>
      <c r="H33" s="24">
        <f>$C$21</f>
        <v>236</v>
      </c>
      <c r="I33" s="25">
        <f t="shared" si="3"/>
        <v>266.34285714285716</v>
      </c>
      <c r="J33" s="25">
        <f t="shared" si="4"/>
        <v>239</v>
      </c>
      <c r="K33" s="26">
        <f t="shared" si="5"/>
        <v>-27.342857142857156</v>
      </c>
      <c r="L33" s="23" t="str">
        <f t="shared" si="6"/>
        <v>Not Met</v>
      </c>
    </row>
    <row r="34" spans="1:12" ht="15.75">
      <c r="A34" s="8" t="s">
        <v>42</v>
      </c>
      <c r="B34" s="9" t="s">
        <v>26</v>
      </c>
      <c r="C34" s="13">
        <v>262</v>
      </c>
      <c r="D34" s="13">
        <f>$C$16*(1+($G$3/7)*3)</f>
        <v>277.62857142857143</v>
      </c>
      <c r="G34" s="64" t="s">
        <v>43</v>
      </c>
      <c r="H34" s="65"/>
      <c r="I34" s="65"/>
      <c r="J34" s="65"/>
      <c r="K34" s="65"/>
      <c r="L34" s="66"/>
    </row>
    <row r="35" spans="1:12" ht="15.75">
      <c r="A35" s="8" t="s">
        <v>42</v>
      </c>
      <c r="B35" s="9" t="s">
        <v>28</v>
      </c>
      <c r="C35" s="13">
        <v>40</v>
      </c>
      <c r="D35" s="13">
        <f>$C$17*(1+($G$3/7)*3)</f>
        <v>39.5</v>
      </c>
      <c r="G35" s="22" t="s">
        <v>44</v>
      </c>
      <c r="H35" s="24">
        <f>$D$41</f>
        <v>908</v>
      </c>
      <c r="I35" s="25">
        <f>D53</f>
        <v>1024.742857142857</v>
      </c>
      <c r="J35" s="25">
        <f>C53</f>
        <v>964</v>
      </c>
      <c r="K35" s="26">
        <f>J35-I35</f>
        <v>-60.742857142857019</v>
      </c>
      <c r="L35" s="23" t="str">
        <f>IF(K35&lt;0, "Not Met","Met")</f>
        <v>Not Met</v>
      </c>
    </row>
    <row r="36" spans="1:12" ht="15.75">
      <c r="A36" s="8" t="s">
        <v>42</v>
      </c>
      <c r="B36" s="9" t="s">
        <v>29</v>
      </c>
      <c r="C36" s="13">
        <v>970</v>
      </c>
      <c r="D36" s="13">
        <f>$C$18*(1+($G$3/7)*3)</f>
        <v>1049.5714285714287</v>
      </c>
      <c r="G36" s="22" t="s">
        <v>45</v>
      </c>
      <c r="H36" s="24">
        <f>$D$42</f>
        <v>621</v>
      </c>
      <c r="I36" s="25">
        <f>D54</f>
        <v>700.84285714285716</v>
      </c>
      <c r="J36" s="25">
        <f>C54</f>
        <v>661</v>
      </c>
      <c r="K36" s="26">
        <f>J36-I36</f>
        <v>-39.842857142857156</v>
      </c>
      <c r="L36" s="23" t="str">
        <f>IF(K36&lt;0, "Not Met","Met")</f>
        <v>Not Met</v>
      </c>
    </row>
    <row r="37" spans="1:12" ht="15.75">
      <c r="A37" s="8" t="s">
        <v>42</v>
      </c>
      <c r="B37" s="9" t="s">
        <v>30</v>
      </c>
      <c r="C37" s="13">
        <v>191</v>
      </c>
      <c r="D37" s="13">
        <f>$C$19*(1+($G$3/7)*3)</f>
        <v>144.45714285714286</v>
      </c>
      <c r="G37" s="22" t="s">
        <v>46</v>
      </c>
      <c r="H37" s="24">
        <f>$D$43</f>
        <v>28</v>
      </c>
      <c r="I37" s="25">
        <f>D55</f>
        <v>31.6</v>
      </c>
      <c r="J37" s="25">
        <f>C55</f>
        <v>42</v>
      </c>
      <c r="K37" s="26">
        <f>J37-I37</f>
        <v>10.399999999999999</v>
      </c>
      <c r="L37" s="23" t="str">
        <f>IF(K37&lt;0, "Not Met","Met")</f>
        <v>Met</v>
      </c>
    </row>
    <row r="38" spans="1:12" ht="15.75">
      <c r="A38" s="8" t="s">
        <v>42</v>
      </c>
      <c r="B38" s="9" t="s">
        <v>31</v>
      </c>
      <c r="C38" s="13">
        <v>20</v>
      </c>
      <c r="D38" s="13">
        <f>$C$20*(1+($G$3/7)*3)</f>
        <v>28.214285714285715</v>
      </c>
      <c r="G38" s="22" t="s">
        <v>47</v>
      </c>
      <c r="H38" s="24">
        <f>$D$44</f>
        <v>64</v>
      </c>
      <c r="I38" s="25">
        <f>D56</f>
        <v>72.228571428571428</v>
      </c>
      <c r="J38" s="25">
        <f>C56</f>
        <v>62</v>
      </c>
      <c r="K38" s="26">
        <f>J38-I38</f>
        <v>-10.228571428571428</v>
      </c>
      <c r="L38" s="23" t="str">
        <f>IF(K38&lt;0, "Not Met","Met")</f>
        <v>Not Met</v>
      </c>
    </row>
    <row r="39" spans="1:12" ht="15.75">
      <c r="A39" s="10" t="s">
        <v>42</v>
      </c>
      <c r="B39" s="11" t="s">
        <v>32</v>
      </c>
      <c r="C39" s="13">
        <v>239</v>
      </c>
      <c r="D39" s="13">
        <f>$C$21*(1+($G$3/7)*3)</f>
        <v>266.34285714285716</v>
      </c>
      <c r="G39" s="64" t="s">
        <v>48</v>
      </c>
      <c r="H39" s="65"/>
      <c r="I39" s="65"/>
      <c r="J39" s="65"/>
      <c r="K39" s="65"/>
      <c r="L39" s="66"/>
    </row>
    <row r="40" spans="1:12" ht="31.5">
      <c r="A40" s="7" t="s">
        <v>0</v>
      </c>
      <c r="B40" s="7" t="s">
        <v>22</v>
      </c>
      <c r="C40" s="7" t="s">
        <v>23</v>
      </c>
      <c r="D40" s="13"/>
      <c r="G40" s="22" t="s">
        <v>49</v>
      </c>
      <c r="H40" s="24">
        <f>$D$58</f>
        <v>588</v>
      </c>
      <c r="I40" s="25">
        <f>D67</f>
        <v>663.6</v>
      </c>
      <c r="J40" s="25">
        <f>C67</f>
        <v>551</v>
      </c>
      <c r="K40" s="26">
        <f>J40-I40</f>
        <v>-112.60000000000002</v>
      </c>
      <c r="L40" s="23" t="str">
        <f>IF(K40&lt;0, "Not Met","Met")</f>
        <v>Not Met</v>
      </c>
    </row>
    <row r="41" spans="1:12" ht="47.25">
      <c r="A41" s="8" t="s">
        <v>25</v>
      </c>
      <c r="B41" s="9" t="s">
        <v>44</v>
      </c>
      <c r="C41" s="12">
        <v>908</v>
      </c>
      <c r="D41" s="13">
        <f>C41</f>
        <v>908</v>
      </c>
      <c r="F41" s="5" t="s">
        <v>27</v>
      </c>
      <c r="G41" s="22" t="s">
        <v>50</v>
      </c>
      <c r="H41" s="24">
        <f>$D$59</f>
        <v>936</v>
      </c>
      <c r="I41" s="25">
        <f>D68</f>
        <v>1056.3428571428572</v>
      </c>
      <c r="J41" s="25">
        <f>C68</f>
        <v>1060</v>
      </c>
      <c r="K41" s="26">
        <f>J41-I41</f>
        <v>3.6571428571428442</v>
      </c>
      <c r="L41" s="23" t="str">
        <f>IF(K41&lt;0, "Not Met","Met")</f>
        <v>Met</v>
      </c>
    </row>
    <row r="42" spans="1:12" ht="15.75">
      <c r="A42" s="8" t="s">
        <v>25</v>
      </c>
      <c r="B42" s="9" t="s">
        <v>45</v>
      </c>
      <c r="C42" s="12">
        <v>621</v>
      </c>
      <c r="D42" s="13">
        <f>C42</f>
        <v>621</v>
      </c>
      <c r="F42" s="5" t="s">
        <v>27</v>
      </c>
      <c r="G42" s="22" t="s">
        <v>47</v>
      </c>
      <c r="H42" s="24">
        <f>$D$60</f>
        <v>97</v>
      </c>
      <c r="I42" s="25">
        <f>D69</f>
        <v>109.47142857142858</v>
      </c>
      <c r="J42" s="25">
        <f>C69</f>
        <v>118</v>
      </c>
      <c r="K42" s="26">
        <f>J42-I42</f>
        <v>8.5285714285714249</v>
      </c>
      <c r="L42" s="23" t="str">
        <f>IF(K42&lt;0, "Not Met","Met")</f>
        <v>Met</v>
      </c>
    </row>
    <row r="43" spans="1:12">
      <c r="A43" s="8" t="s">
        <v>25</v>
      </c>
      <c r="B43" s="9" t="s">
        <v>46</v>
      </c>
      <c r="C43" s="12">
        <v>28</v>
      </c>
      <c r="D43" s="13">
        <f>C43</f>
        <v>28</v>
      </c>
      <c r="F43" s="5" t="s">
        <v>27</v>
      </c>
      <c r="G43" s="14" t="s">
        <v>51</v>
      </c>
    </row>
    <row r="44" spans="1:12">
      <c r="A44" s="8" t="s">
        <v>25</v>
      </c>
      <c r="B44" s="9" t="s">
        <v>47</v>
      </c>
      <c r="C44" s="12">
        <v>64</v>
      </c>
      <c r="D44" s="13">
        <f>C44</f>
        <v>64</v>
      </c>
      <c r="F44" s="5" t="s">
        <v>27</v>
      </c>
    </row>
    <row r="45" spans="1:12">
      <c r="A45" s="8" t="s">
        <v>33</v>
      </c>
      <c r="B45" s="9" t="s">
        <v>44</v>
      </c>
      <c r="C45" s="12">
        <v>923</v>
      </c>
      <c r="D45" s="13">
        <f>$C$41*(1+($G$3/7)*1)</f>
        <v>946.91428571428582</v>
      </c>
    </row>
    <row r="46" spans="1:12">
      <c r="A46" s="8" t="s">
        <v>33</v>
      </c>
      <c r="B46" s="9" t="s">
        <v>45</v>
      </c>
      <c r="C46" s="12">
        <v>634</v>
      </c>
      <c r="D46" s="13">
        <f>$C$42*(1+($G$3/7)*1)</f>
        <v>647.61428571428576</v>
      </c>
    </row>
    <row r="47" spans="1:12">
      <c r="A47" s="8" t="s">
        <v>33</v>
      </c>
      <c r="B47" s="9" t="s">
        <v>46</v>
      </c>
      <c r="C47" s="12">
        <v>17</v>
      </c>
      <c r="D47" s="13">
        <f>$C$43*(1+($G$3/7)*1)</f>
        <v>29.200000000000003</v>
      </c>
    </row>
    <row r="48" spans="1:12">
      <c r="A48" s="8" t="s">
        <v>33</v>
      </c>
      <c r="B48" s="9" t="s">
        <v>47</v>
      </c>
      <c r="C48" s="12">
        <v>50</v>
      </c>
      <c r="D48" s="13">
        <f>$C$44*(1+($G$3/7)*1)</f>
        <v>66.742857142857147</v>
      </c>
    </row>
    <row r="49" spans="1:6">
      <c r="A49" s="8" t="s">
        <v>40</v>
      </c>
      <c r="B49" s="9" t="s">
        <v>44</v>
      </c>
      <c r="C49" s="12">
        <v>955</v>
      </c>
      <c r="D49" s="13">
        <f>$C$41*(1+($G$3/7)*2)</f>
        <v>985.82857142857131</v>
      </c>
    </row>
    <row r="50" spans="1:6">
      <c r="A50" s="8" t="s">
        <v>40</v>
      </c>
      <c r="B50" s="9" t="s">
        <v>45</v>
      </c>
      <c r="C50" s="12">
        <v>695</v>
      </c>
      <c r="D50" s="13">
        <f>$C$42*(1+($G$3/7)*2)</f>
        <v>674.2285714285714</v>
      </c>
    </row>
    <row r="51" spans="1:6">
      <c r="A51" s="8" t="s">
        <v>40</v>
      </c>
      <c r="B51" s="9" t="s">
        <v>46</v>
      </c>
      <c r="C51" s="12">
        <v>28</v>
      </c>
      <c r="D51" s="13">
        <f>$C$43*(1+($G$3/7)*2)</f>
        <v>30.4</v>
      </c>
    </row>
    <row r="52" spans="1:6">
      <c r="A52" s="8" t="s">
        <v>40</v>
      </c>
      <c r="B52" s="9" t="s">
        <v>47</v>
      </c>
      <c r="C52" s="12">
        <v>45</v>
      </c>
      <c r="D52" s="13">
        <f>$C$44*(1+($G$3/7)*2)</f>
        <v>69.48571428571428</v>
      </c>
    </row>
    <row r="53" spans="1:6">
      <c r="A53" s="8" t="s">
        <v>42</v>
      </c>
      <c r="B53" s="9" t="s">
        <v>44</v>
      </c>
      <c r="C53" s="12">
        <v>964</v>
      </c>
      <c r="D53" s="13">
        <f>$C$41*(1+($G$3/7)*3)</f>
        <v>1024.742857142857</v>
      </c>
    </row>
    <row r="54" spans="1:6">
      <c r="A54" s="8" t="s">
        <v>42</v>
      </c>
      <c r="B54" s="9" t="s">
        <v>45</v>
      </c>
      <c r="C54" s="12">
        <v>661</v>
      </c>
      <c r="D54" s="13">
        <f>$C$42*(1+($G$3/7)*3)</f>
        <v>700.84285714285716</v>
      </c>
    </row>
    <row r="55" spans="1:6">
      <c r="A55" s="8" t="s">
        <v>42</v>
      </c>
      <c r="B55" s="9" t="s">
        <v>46</v>
      </c>
      <c r="C55" s="12">
        <v>42</v>
      </c>
      <c r="D55" s="13">
        <f>$C$43*(1+($G$3/7)*3)</f>
        <v>31.6</v>
      </c>
    </row>
    <row r="56" spans="1:6">
      <c r="A56" s="10" t="s">
        <v>42</v>
      </c>
      <c r="B56" s="11" t="s">
        <v>47</v>
      </c>
      <c r="C56" s="4">
        <v>62</v>
      </c>
      <c r="D56" s="13">
        <f>$C$44*(1+($G$3/7)*3)</f>
        <v>72.228571428571428</v>
      </c>
    </row>
    <row r="57" spans="1:6" ht="15">
      <c r="A57" s="7" t="s">
        <v>0</v>
      </c>
      <c r="B57" s="7" t="s">
        <v>22</v>
      </c>
      <c r="C57" s="7" t="s">
        <v>23</v>
      </c>
      <c r="D57" s="13"/>
    </row>
    <row r="58" spans="1:6">
      <c r="A58" s="8" t="s">
        <v>25</v>
      </c>
      <c r="B58" s="9" t="s">
        <v>49</v>
      </c>
      <c r="C58" s="12">
        <v>588</v>
      </c>
      <c r="D58" s="13">
        <f>C58</f>
        <v>588</v>
      </c>
      <c r="F58" s="5" t="s">
        <v>27</v>
      </c>
    </row>
    <row r="59" spans="1:6">
      <c r="A59" s="8" t="s">
        <v>25</v>
      </c>
      <c r="B59" s="9" t="s">
        <v>50</v>
      </c>
      <c r="C59" s="12">
        <v>936</v>
      </c>
      <c r="D59" s="13">
        <f>C59</f>
        <v>936</v>
      </c>
      <c r="F59" s="5" t="s">
        <v>27</v>
      </c>
    </row>
    <row r="60" spans="1:6">
      <c r="A60" s="8" t="s">
        <v>25</v>
      </c>
      <c r="B60" s="9" t="s">
        <v>47</v>
      </c>
      <c r="C60" s="12">
        <v>97</v>
      </c>
      <c r="D60" s="13">
        <f>C60</f>
        <v>97</v>
      </c>
      <c r="F60" s="5" t="s">
        <v>27</v>
      </c>
    </row>
    <row r="61" spans="1:6">
      <c r="A61" s="8" t="s">
        <v>33</v>
      </c>
      <c r="B61" s="9" t="s">
        <v>49</v>
      </c>
      <c r="C61" s="12">
        <v>551</v>
      </c>
      <c r="D61" s="13">
        <f>$C$58*(1+($G$3/7)*1)</f>
        <v>613.20000000000005</v>
      </c>
    </row>
    <row r="62" spans="1:6">
      <c r="A62" s="8" t="s">
        <v>33</v>
      </c>
      <c r="B62" s="9" t="s">
        <v>50</v>
      </c>
      <c r="C62" s="12">
        <v>967</v>
      </c>
      <c r="D62" s="13">
        <f>$C$59*(1+($G$3/7)*1)</f>
        <v>976.11428571428576</v>
      </c>
    </row>
    <row r="63" spans="1:6">
      <c r="A63" s="8" t="s">
        <v>33</v>
      </c>
      <c r="B63" s="9" t="s">
        <v>47</v>
      </c>
      <c r="C63" s="12">
        <v>106</v>
      </c>
      <c r="D63" s="13">
        <f>$C$60*(1+($G$3/7)*1)</f>
        <v>101.15714285714286</v>
      </c>
    </row>
    <row r="64" spans="1:6">
      <c r="A64" s="8" t="s">
        <v>40</v>
      </c>
      <c r="B64" s="9" t="s">
        <v>49</v>
      </c>
      <c r="C64" s="12">
        <v>558</v>
      </c>
      <c r="D64" s="13">
        <f>$C$58*(1+($G$3/7)*2)</f>
        <v>638.4</v>
      </c>
    </row>
    <row r="65" spans="1:4">
      <c r="A65" s="8" t="s">
        <v>40</v>
      </c>
      <c r="B65" s="9" t="s">
        <v>50</v>
      </c>
      <c r="C65" s="12">
        <v>1048</v>
      </c>
      <c r="D65" s="13">
        <f>$C$59*(1+($G$3/7)*2)</f>
        <v>1016.2285714285714</v>
      </c>
    </row>
    <row r="66" spans="1:4">
      <c r="A66" s="8" t="s">
        <v>40</v>
      </c>
      <c r="B66" s="9" t="s">
        <v>47</v>
      </c>
      <c r="C66" s="12">
        <v>117</v>
      </c>
      <c r="D66" s="13">
        <f>$C$60*(1+($G$3/7)*2)</f>
        <v>105.3142857142857</v>
      </c>
    </row>
    <row r="67" spans="1:4">
      <c r="A67" s="8" t="s">
        <v>42</v>
      </c>
      <c r="B67" s="9" t="s">
        <v>49</v>
      </c>
      <c r="C67" s="12">
        <v>551</v>
      </c>
      <c r="D67" s="13">
        <f>$C$58*(1+($G$3/7)*3)</f>
        <v>663.6</v>
      </c>
    </row>
    <row r="68" spans="1:4">
      <c r="A68" s="8" t="s">
        <v>42</v>
      </c>
      <c r="B68" s="9" t="s">
        <v>50</v>
      </c>
      <c r="C68" s="12">
        <v>1060</v>
      </c>
      <c r="D68" s="13">
        <f>$C$59*(1+($G$3/7)*3)</f>
        <v>1056.3428571428572</v>
      </c>
    </row>
    <row r="69" spans="1:4">
      <c r="A69" s="10" t="s">
        <v>42</v>
      </c>
      <c r="B69" s="11" t="s">
        <v>47</v>
      </c>
      <c r="C69" s="4">
        <v>118</v>
      </c>
      <c r="D69" s="13">
        <f>$C$60*(1+($G$3/7)*3)</f>
        <v>109.47142857142858</v>
      </c>
    </row>
  </sheetData>
  <mergeCells count="7">
    <mergeCell ref="G39:L39"/>
    <mergeCell ref="A12:G12"/>
    <mergeCell ref="B13:F13"/>
    <mergeCell ref="B14:F14"/>
    <mergeCell ref="I21:Q22"/>
    <mergeCell ref="G27:L27"/>
    <mergeCell ref="G34:L34"/>
  </mergeCells>
  <conditionalFormatting sqref="L26 L28:L33">
    <cfRule type="beginsWith" dxfId="45" priority="5" operator="beginsWith" text="Met">
      <formula>LEFT(L26,LEN("Met"))="Met"</formula>
    </cfRule>
    <cfRule type="beginsWith" dxfId="44" priority="6" operator="beginsWith" text="Not Met">
      <formula>LEFT(L26,LEN("Not Met"))="Not Met"</formula>
    </cfRule>
  </conditionalFormatting>
  <conditionalFormatting sqref="L35:L38">
    <cfRule type="beginsWith" dxfId="43" priority="3" operator="beginsWith" text="Met">
      <formula>LEFT(L35,LEN("Met"))="Met"</formula>
    </cfRule>
    <cfRule type="beginsWith" dxfId="42" priority="4" operator="beginsWith" text="Not Met">
      <formula>LEFT(L35,LEN("Not Met"))="Not Met"</formula>
    </cfRule>
  </conditionalFormatting>
  <conditionalFormatting sqref="L40:L42">
    <cfRule type="beginsWith" dxfId="41" priority="1" operator="beginsWith" text="Met">
      <formula>LEFT(L40,LEN("Met"))="Met"</formula>
    </cfRule>
    <cfRule type="beginsWith" dxfId="40" priority="2" operator="beginsWith" text="Not Met">
      <formula>LEFT(L40,LEN("Not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5980-1368-4D98-9161-C09E3220C52F}">
  <dimension ref="A1:Q69"/>
  <sheetViews>
    <sheetView workbookViewId="0">
      <selection activeCell="O28" sqref="O28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2981</v>
      </c>
      <c r="C2" s="1">
        <f>$G$2</f>
        <v>2981</v>
      </c>
      <c r="D2" s="3" t="s">
        <v>7</v>
      </c>
      <c r="F2" t="s">
        <v>8</v>
      </c>
      <c r="G2" s="1">
        <f>B2</f>
        <v>2981</v>
      </c>
    </row>
    <row r="3" spans="1:7">
      <c r="A3" t="s">
        <v>9</v>
      </c>
      <c r="B3" s="28">
        <v>3029</v>
      </c>
      <c r="C3" s="1">
        <f t="shared" ref="C3:C9" si="0">$G$2*(1+$G$3*(ROW()-ROW($C$2))/$G$4)</f>
        <v>3108.7571428571432</v>
      </c>
      <c r="D3" s="18">
        <f t="shared" ref="D3:D9" si="1">B3-C3</f>
        <v>-79.757142857143208</v>
      </c>
      <c r="F3" t="s">
        <v>10</v>
      </c>
      <c r="G3" s="15">
        <v>0.3</v>
      </c>
    </row>
    <row r="4" spans="1:7">
      <c r="A4" t="s">
        <v>11</v>
      </c>
      <c r="B4" s="28">
        <v>3154</v>
      </c>
      <c r="C4" s="1">
        <f t="shared" si="0"/>
        <v>3236.5142857142855</v>
      </c>
      <c r="D4" s="18">
        <f t="shared" si="1"/>
        <v>-82.514285714285506</v>
      </c>
      <c r="F4" t="s">
        <v>12</v>
      </c>
      <c r="G4">
        <v>7</v>
      </c>
    </row>
    <row r="5" spans="1:7">
      <c r="A5" t="s">
        <v>13</v>
      </c>
      <c r="B5" s="28">
        <v>3241</v>
      </c>
      <c r="C5" s="1">
        <f t="shared" si="0"/>
        <v>3364.2714285714287</v>
      </c>
      <c r="D5" s="18">
        <f>B5-C5</f>
        <v>-123.27142857142871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29">
        <f t="shared" si="0"/>
        <v>3492.0285714285715</v>
      </c>
      <c r="D6" s="18">
        <f t="shared" si="1"/>
        <v>-3492.0285714285715</v>
      </c>
      <c r="F6" t="s">
        <v>10</v>
      </c>
      <c r="G6" s="17">
        <f>($G$2*G3)+G2</f>
        <v>3875.3</v>
      </c>
    </row>
    <row r="7" spans="1:7">
      <c r="A7" t="s">
        <v>16</v>
      </c>
      <c r="B7" s="1"/>
      <c r="C7" s="1">
        <f t="shared" si="0"/>
        <v>3619.7857142857142</v>
      </c>
      <c r="D7" s="18">
        <f t="shared" si="1"/>
        <v>-3619.7857142857142</v>
      </c>
    </row>
    <row r="8" spans="1:7">
      <c r="A8" t="s">
        <v>17</v>
      </c>
      <c r="B8" s="1"/>
      <c r="C8" s="1">
        <f t="shared" si="0"/>
        <v>3747.542857142857</v>
      </c>
      <c r="D8" s="18">
        <f t="shared" si="1"/>
        <v>-3747.542857142857</v>
      </c>
      <c r="F8" t="s">
        <v>18</v>
      </c>
    </row>
    <row r="9" spans="1:7">
      <c r="A9" t="s">
        <v>19</v>
      </c>
      <c r="B9" s="1"/>
      <c r="C9" s="1">
        <f t="shared" si="0"/>
        <v>3875.3</v>
      </c>
      <c r="D9" s="18">
        <f t="shared" si="1"/>
        <v>-3875.3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22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26</v>
      </c>
      <c r="C16" s="13">
        <v>494</v>
      </c>
      <c r="D16" s="13">
        <f t="shared" ref="D16:D21" si="2">C16</f>
        <v>494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28</v>
      </c>
      <c r="C17" s="13">
        <v>76</v>
      </c>
      <c r="D17" s="13">
        <f t="shared" si="2"/>
        <v>76</v>
      </c>
      <c r="E17" s="5"/>
      <c r="F17" s="5" t="s">
        <v>27</v>
      </c>
    </row>
    <row r="18" spans="1:17">
      <c r="A18" s="8" t="s">
        <v>25</v>
      </c>
      <c r="B18" s="9" t="s">
        <v>29</v>
      </c>
      <c r="C18" s="13">
        <v>1611</v>
      </c>
      <c r="D18" s="13">
        <f t="shared" si="2"/>
        <v>1611</v>
      </c>
      <c r="F18" s="5" t="s">
        <v>27</v>
      </c>
    </row>
    <row r="19" spans="1:17">
      <c r="A19" s="8" t="s">
        <v>25</v>
      </c>
      <c r="B19" s="9" t="s">
        <v>30</v>
      </c>
      <c r="C19" s="13">
        <v>271</v>
      </c>
      <c r="D19" s="13">
        <f t="shared" si="2"/>
        <v>271</v>
      </c>
      <c r="F19" s="5" t="s">
        <v>27</v>
      </c>
    </row>
    <row r="20" spans="1:17">
      <c r="A20" s="8" t="s">
        <v>25</v>
      </c>
      <c r="B20" s="9" t="s">
        <v>31</v>
      </c>
      <c r="C20" s="13">
        <v>45</v>
      </c>
      <c r="D20" s="13">
        <f t="shared" si="2"/>
        <v>45</v>
      </c>
      <c r="F20" s="5" t="s">
        <v>27</v>
      </c>
    </row>
    <row r="21" spans="1:17">
      <c r="A21" s="8" t="s">
        <v>25</v>
      </c>
      <c r="B21" s="9" t="s">
        <v>32</v>
      </c>
      <c r="C21" s="13">
        <v>440</v>
      </c>
      <c r="D21" s="13">
        <f t="shared" si="2"/>
        <v>440</v>
      </c>
      <c r="F21" s="5" t="s">
        <v>27</v>
      </c>
      <c r="I21" s="68"/>
      <c r="J21" s="70"/>
      <c r="K21" s="70"/>
      <c r="L21" s="70"/>
      <c r="M21" s="70"/>
      <c r="N21" s="70"/>
      <c r="O21" s="70"/>
      <c r="P21" s="70"/>
      <c r="Q21" s="70"/>
    </row>
    <row r="22" spans="1:17">
      <c r="A22" s="8" t="s">
        <v>33</v>
      </c>
      <c r="B22" s="9" t="s">
        <v>26</v>
      </c>
      <c r="C22" s="13">
        <v>555</v>
      </c>
      <c r="D22" s="13">
        <f>$C$16*(1+($G$3/7)*1)</f>
        <v>515.17142857142858</v>
      </c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8" t="s">
        <v>33</v>
      </c>
      <c r="B23" s="9" t="s">
        <v>28</v>
      </c>
      <c r="C23" s="13">
        <v>71</v>
      </c>
      <c r="D23" s="13">
        <f>$C$17*(1+($G$3/7)*1)</f>
        <v>79.257142857142867</v>
      </c>
    </row>
    <row r="24" spans="1:17" ht="15">
      <c r="A24" s="8" t="s">
        <v>33</v>
      </c>
      <c r="B24" s="9" t="s">
        <v>29</v>
      </c>
      <c r="C24" s="13">
        <v>1649</v>
      </c>
      <c r="D24" s="13">
        <f>$C$18*(1+($G$3/7)*1)</f>
        <v>1680.0428571428572</v>
      </c>
      <c r="G24" s="7" t="s">
        <v>34</v>
      </c>
    </row>
    <row r="25" spans="1:17">
      <c r="A25" s="8" t="s">
        <v>33</v>
      </c>
      <c r="B25" s="9" t="s">
        <v>30</v>
      </c>
      <c r="C25" s="13">
        <v>280</v>
      </c>
      <c r="D25" s="13">
        <f>$C$19*(1+($G$3/7)*1)</f>
        <v>282.61428571428576</v>
      </c>
    </row>
    <row r="26" spans="1:17" ht="31.5">
      <c r="A26" s="8" t="s">
        <v>33</v>
      </c>
      <c r="B26" s="9" t="s">
        <v>31</v>
      </c>
      <c r="C26" s="13">
        <v>41</v>
      </c>
      <c r="D26" s="13">
        <f>$C$20*(1+($G$3/7)*1)</f>
        <v>46.928571428571431</v>
      </c>
      <c r="G26" s="19" t="s">
        <v>22</v>
      </c>
      <c r="H26" s="20" t="s">
        <v>35</v>
      </c>
      <c r="I26" s="21" t="s">
        <v>36</v>
      </c>
      <c r="J26" s="21" t="s">
        <v>37</v>
      </c>
      <c r="K26" s="21" t="s">
        <v>3</v>
      </c>
      <c r="L26" s="20" t="s">
        <v>38</v>
      </c>
    </row>
    <row r="27" spans="1:17" ht="15.75">
      <c r="A27" s="8" t="s">
        <v>33</v>
      </c>
      <c r="B27" s="9" t="s">
        <v>32</v>
      </c>
      <c r="C27" s="13">
        <v>402</v>
      </c>
      <c r="D27" s="13">
        <f>$C$21*(1+($G$3/7)*1)</f>
        <v>458.85714285714289</v>
      </c>
      <c r="G27" s="64" t="s">
        <v>39</v>
      </c>
      <c r="H27" s="65"/>
      <c r="I27" s="65"/>
      <c r="J27" s="65"/>
      <c r="K27" s="65"/>
      <c r="L27" s="66"/>
    </row>
    <row r="28" spans="1:17" ht="15.75">
      <c r="A28" s="8" t="s">
        <v>40</v>
      </c>
      <c r="B28" s="9" t="s">
        <v>26</v>
      </c>
      <c r="C28" s="13">
        <v>547</v>
      </c>
      <c r="D28" s="13">
        <f>$C$16*(1+($G$3/7)*2)</f>
        <v>536.34285714285716</v>
      </c>
      <c r="G28" s="22" t="s">
        <v>26</v>
      </c>
      <c r="H28" s="24">
        <f>$C$16</f>
        <v>494</v>
      </c>
      <c r="I28" s="25">
        <f t="shared" ref="I28:I33" si="3">D34</f>
        <v>557.51428571428573</v>
      </c>
      <c r="J28" s="25">
        <f t="shared" ref="J28:J33" si="4">C34</f>
        <v>531</v>
      </c>
      <c r="K28" s="26">
        <f t="shared" ref="K28:K33" si="5">J28-I28</f>
        <v>-26.514285714285734</v>
      </c>
      <c r="L28" s="23" t="str">
        <f t="shared" ref="L28:L33" si="6">IF(K28&lt;0, "Not Met","Met")</f>
        <v>Not Met</v>
      </c>
    </row>
    <row r="29" spans="1:17" ht="31.5">
      <c r="A29" s="8" t="s">
        <v>40</v>
      </c>
      <c r="B29" s="9" t="s">
        <v>28</v>
      </c>
      <c r="C29" s="13">
        <v>70</v>
      </c>
      <c r="D29" s="13">
        <f>$C$17*(1+($G$3/7)*2)</f>
        <v>82.514285714285705</v>
      </c>
      <c r="G29" s="22" t="s">
        <v>41</v>
      </c>
      <c r="H29" s="24">
        <f>$C$17</f>
        <v>76</v>
      </c>
      <c r="I29" s="25">
        <f t="shared" si="3"/>
        <v>85.771428571428572</v>
      </c>
      <c r="J29" s="25">
        <f t="shared" si="4"/>
        <v>85</v>
      </c>
      <c r="K29" s="26">
        <f t="shared" si="5"/>
        <v>-0.77142857142857224</v>
      </c>
      <c r="L29" s="23" t="str">
        <f t="shared" si="6"/>
        <v>Not Met</v>
      </c>
    </row>
    <row r="30" spans="1:17" ht="15.75">
      <c r="A30" s="8" t="s">
        <v>40</v>
      </c>
      <c r="B30" s="9" t="s">
        <v>29</v>
      </c>
      <c r="C30" s="13">
        <v>1715</v>
      </c>
      <c r="D30" s="13">
        <f>$C$18*(1+($G$3/7)*2)</f>
        <v>1749.0857142857142</v>
      </c>
      <c r="G30" s="22" t="s">
        <v>29</v>
      </c>
      <c r="H30" s="24">
        <f>$C$18</f>
        <v>1611</v>
      </c>
      <c r="I30" s="25">
        <f t="shared" si="3"/>
        <v>1818.1285714285714</v>
      </c>
      <c r="J30" s="25">
        <f t="shared" si="4"/>
        <v>1755</v>
      </c>
      <c r="K30" s="26">
        <f t="shared" si="5"/>
        <v>-63.128571428571377</v>
      </c>
      <c r="L30" s="23" t="str">
        <f t="shared" si="6"/>
        <v>Not Met</v>
      </c>
    </row>
    <row r="31" spans="1:17" ht="15.75">
      <c r="A31" s="8" t="s">
        <v>40</v>
      </c>
      <c r="B31" s="9" t="s">
        <v>30</v>
      </c>
      <c r="C31" s="13">
        <v>343</v>
      </c>
      <c r="D31" s="13">
        <f>$C$19*(1+($G$3/7)*2)</f>
        <v>294.2285714285714</v>
      </c>
      <c r="G31" s="22" t="s">
        <v>30</v>
      </c>
      <c r="H31" s="24">
        <f>$C$19</f>
        <v>271</v>
      </c>
      <c r="I31" s="25">
        <f t="shared" si="3"/>
        <v>305.84285714285716</v>
      </c>
      <c r="J31" s="25">
        <f t="shared" si="4"/>
        <v>357</v>
      </c>
      <c r="K31" s="26">
        <f t="shared" si="5"/>
        <v>51.157142857142844</v>
      </c>
      <c r="L31" s="23" t="str">
        <f t="shared" si="6"/>
        <v>Met</v>
      </c>
    </row>
    <row r="32" spans="1:17" ht="31.5">
      <c r="A32" s="8" t="s">
        <v>40</v>
      </c>
      <c r="B32" s="9" t="s">
        <v>31</v>
      </c>
      <c r="C32" s="13">
        <v>45</v>
      </c>
      <c r="D32" s="13">
        <f>$C$20*(1+($G$3/7)*2)</f>
        <v>48.857142857142854</v>
      </c>
      <c r="G32" s="22" t="s">
        <v>31</v>
      </c>
      <c r="H32" s="24">
        <f>$C$20</f>
        <v>45</v>
      </c>
      <c r="I32" s="25">
        <f t="shared" si="3"/>
        <v>50.785714285714285</v>
      </c>
      <c r="J32" s="25">
        <f t="shared" si="4"/>
        <v>39</v>
      </c>
      <c r="K32" s="26">
        <f t="shared" si="5"/>
        <v>-11.785714285714285</v>
      </c>
      <c r="L32" s="23" t="str">
        <f t="shared" si="6"/>
        <v>Not Met</v>
      </c>
    </row>
    <row r="33" spans="1:12" ht="15.75">
      <c r="A33" s="8" t="s">
        <v>40</v>
      </c>
      <c r="B33" s="9" t="s">
        <v>32</v>
      </c>
      <c r="C33" s="13">
        <v>412</v>
      </c>
      <c r="D33" s="13">
        <f>$C$21*(1+($G$3/7)*2)</f>
        <v>477.71428571428567</v>
      </c>
      <c r="G33" s="22" t="s">
        <v>32</v>
      </c>
      <c r="H33" s="24">
        <f>$C$21</f>
        <v>440</v>
      </c>
      <c r="I33" s="25">
        <f t="shared" si="3"/>
        <v>496.57142857142856</v>
      </c>
      <c r="J33" s="25">
        <f t="shared" si="4"/>
        <v>459</v>
      </c>
      <c r="K33" s="26">
        <f t="shared" si="5"/>
        <v>-37.571428571428555</v>
      </c>
      <c r="L33" s="23" t="str">
        <f t="shared" si="6"/>
        <v>Not Met</v>
      </c>
    </row>
    <row r="34" spans="1:12" ht="15.75">
      <c r="A34" s="8" t="s">
        <v>42</v>
      </c>
      <c r="B34" s="9" t="s">
        <v>26</v>
      </c>
      <c r="C34" s="13">
        <v>531</v>
      </c>
      <c r="D34" s="13">
        <f>$C$16*(1+($G$3/7)*3)</f>
        <v>557.51428571428573</v>
      </c>
      <c r="G34" s="64" t="s">
        <v>43</v>
      </c>
      <c r="H34" s="65"/>
      <c r="I34" s="65"/>
      <c r="J34" s="65"/>
      <c r="K34" s="65"/>
      <c r="L34" s="66"/>
    </row>
    <row r="35" spans="1:12" ht="15.75">
      <c r="A35" s="8" t="s">
        <v>42</v>
      </c>
      <c r="B35" s="9" t="s">
        <v>28</v>
      </c>
      <c r="C35" s="13">
        <v>85</v>
      </c>
      <c r="D35" s="13">
        <f>$C$17*(1+($G$3/7)*3)</f>
        <v>85.771428571428572</v>
      </c>
      <c r="G35" s="22" t="s">
        <v>44</v>
      </c>
      <c r="H35" s="24">
        <f>$D$41</f>
        <v>1617</v>
      </c>
      <c r="I35" s="25">
        <f>D53</f>
        <v>1824.9</v>
      </c>
      <c r="J35" s="25">
        <f>C53</f>
        <v>1747</v>
      </c>
      <c r="K35" s="26">
        <f>J35-I35</f>
        <v>-77.900000000000091</v>
      </c>
      <c r="L35" s="23" t="str">
        <f>IF(K35&lt;0, "Not Met","Met")</f>
        <v>Not Met</v>
      </c>
    </row>
    <row r="36" spans="1:12" ht="15.75">
      <c r="A36" s="8" t="s">
        <v>42</v>
      </c>
      <c r="B36" s="9" t="s">
        <v>29</v>
      </c>
      <c r="C36" s="13">
        <v>1755</v>
      </c>
      <c r="D36" s="13">
        <f>$C$18*(1+($G$3/7)*3)</f>
        <v>1818.1285714285714</v>
      </c>
      <c r="G36" s="22" t="s">
        <v>45</v>
      </c>
      <c r="H36" s="24">
        <f>$D$42</f>
        <v>1198</v>
      </c>
      <c r="I36" s="25">
        <f>D54</f>
        <v>1352.0285714285715</v>
      </c>
      <c r="J36" s="25">
        <f>C54</f>
        <v>1313</v>
      </c>
      <c r="K36" s="26">
        <f>J36-I36</f>
        <v>-39.028571428571468</v>
      </c>
      <c r="L36" s="23" t="str">
        <f>IF(K36&lt;0, "Not Met","Met")</f>
        <v>Not Met</v>
      </c>
    </row>
    <row r="37" spans="1:12" ht="15.75">
      <c r="A37" s="8" t="s">
        <v>42</v>
      </c>
      <c r="B37" s="9" t="s">
        <v>30</v>
      </c>
      <c r="C37" s="13">
        <v>357</v>
      </c>
      <c r="D37" s="13">
        <f>$C$19*(1+($G$3/7)*3)</f>
        <v>305.84285714285716</v>
      </c>
      <c r="G37" s="22" t="s">
        <v>46</v>
      </c>
      <c r="H37" s="24">
        <f>$D$43</f>
        <v>45</v>
      </c>
      <c r="I37" s="25">
        <f>D55</f>
        <v>50.785714285714285</v>
      </c>
      <c r="J37" s="25">
        <f>C55</f>
        <v>62</v>
      </c>
      <c r="K37" s="26">
        <f>J37-I37</f>
        <v>11.214285714285715</v>
      </c>
      <c r="L37" s="23" t="str">
        <f>IF(K37&lt;0, "Not Met","Met")</f>
        <v>Met</v>
      </c>
    </row>
    <row r="38" spans="1:12" ht="15.75">
      <c r="A38" s="8" t="s">
        <v>42</v>
      </c>
      <c r="B38" s="9" t="s">
        <v>31</v>
      </c>
      <c r="C38" s="13">
        <v>39</v>
      </c>
      <c r="D38" s="13">
        <f>$C$20*(1+($G$3/7)*3)</f>
        <v>50.785714285714285</v>
      </c>
      <c r="G38" s="22" t="s">
        <v>47</v>
      </c>
      <c r="H38" s="24">
        <f>$D$44</f>
        <v>121</v>
      </c>
      <c r="I38" s="25">
        <f>D56</f>
        <v>136.55714285714285</v>
      </c>
      <c r="J38" s="25">
        <f>C56</f>
        <v>119</v>
      </c>
      <c r="K38" s="26">
        <f>J38-I38</f>
        <v>-17.55714285714285</v>
      </c>
      <c r="L38" s="23" t="str">
        <f>IF(K38&lt;0, "Not Met","Met")</f>
        <v>Not Met</v>
      </c>
    </row>
    <row r="39" spans="1:12" ht="15.75">
      <c r="A39" s="10" t="s">
        <v>42</v>
      </c>
      <c r="B39" s="11" t="s">
        <v>32</v>
      </c>
      <c r="C39" s="13">
        <v>459</v>
      </c>
      <c r="D39" s="13">
        <f>$C$21*(1+($G$3/7)*3)</f>
        <v>496.57142857142856</v>
      </c>
      <c r="G39" s="64" t="s">
        <v>48</v>
      </c>
      <c r="H39" s="65"/>
      <c r="I39" s="65"/>
      <c r="J39" s="65"/>
      <c r="K39" s="65"/>
      <c r="L39" s="66"/>
    </row>
    <row r="40" spans="1:12" ht="31.5">
      <c r="A40" s="7" t="s">
        <v>0</v>
      </c>
      <c r="B40" s="7" t="s">
        <v>22</v>
      </c>
      <c r="C40" s="7" t="s">
        <v>23</v>
      </c>
      <c r="D40" s="13"/>
      <c r="G40" s="22" t="s">
        <v>49</v>
      </c>
      <c r="H40" s="24">
        <f>$D$58</f>
        <v>1038</v>
      </c>
      <c r="I40" s="25">
        <f>D67</f>
        <v>1171.4571428571428</v>
      </c>
      <c r="J40" s="25">
        <f>C67</f>
        <v>1096</v>
      </c>
      <c r="K40" s="26">
        <f>J40-I40</f>
        <v>-75.457142857142799</v>
      </c>
      <c r="L40" s="23" t="str">
        <f>IF(K40&lt;0, "Not Met","Met")</f>
        <v>Not Met</v>
      </c>
    </row>
    <row r="41" spans="1:12" ht="47.25">
      <c r="A41" s="8" t="s">
        <v>25</v>
      </c>
      <c r="B41" s="9" t="s">
        <v>44</v>
      </c>
      <c r="C41" s="12">
        <v>1617</v>
      </c>
      <c r="D41" s="13">
        <f>C41</f>
        <v>1617</v>
      </c>
      <c r="F41" s="5" t="s">
        <v>27</v>
      </c>
      <c r="G41" s="22" t="s">
        <v>50</v>
      </c>
      <c r="H41" s="24">
        <f>$D$59</f>
        <v>1715</v>
      </c>
      <c r="I41" s="25">
        <f>D68</f>
        <v>1935.5</v>
      </c>
      <c r="J41" s="25">
        <f>C68</f>
        <v>1884</v>
      </c>
      <c r="K41" s="26">
        <f>J41-I41</f>
        <v>-51.5</v>
      </c>
      <c r="L41" s="23" t="str">
        <f>IF(K41&lt;0, "Not Met","Met")</f>
        <v>Not Met</v>
      </c>
    </row>
    <row r="42" spans="1:12" ht="15.75">
      <c r="A42" s="8" t="s">
        <v>25</v>
      </c>
      <c r="B42" s="9" t="s">
        <v>45</v>
      </c>
      <c r="C42" s="12">
        <v>1198</v>
      </c>
      <c r="D42" s="13">
        <f>C42</f>
        <v>1198</v>
      </c>
      <c r="F42" s="5" t="s">
        <v>27</v>
      </c>
      <c r="G42" s="22" t="s">
        <v>47</v>
      </c>
      <c r="H42" s="24">
        <f>$D$60</f>
        <v>228</v>
      </c>
      <c r="I42" s="25">
        <f>D69</f>
        <v>257.31428571428569</v>
      </c>
      <c r="J42" s="25">
        <f>C69</f>
        <v>261</v>
      </c>
      <c r="K42" s="26">
        <f>J42-I42</f>
        <v>3.6857142857143117</v>
      </c>
      <c r="L42" s="23" t="str">
        <f>IF(K42&lt;0, "Not Met","Met")</f>
        <v>Met</v>
      </c>
    </row>
    <row r="43" spans="1:12">
      <c r="A43" s="8" t="s">
        <v>25</v>
      </c>
      <c r="B43" s="9" t="s">
        <v>46</v>
      </c>
      <c r="C43" s="12">
        <v>45</v>
      </c>
      <c r="D43" s="13">
        <f>C43</f>
        <v>45</v>
      </c>
      <c r="F43" s="5" t="s">
        <v>27</v>
      </c>
      <c r="G43" s="14" t="s">
        <v>51</v>
      </c>
    </row>
    <row r="44" spans="1:12">
      <c r="A44" s="8" t="s">
        <v>25</v>
      </c>
      <c r="B44" s="9" t="s">
        <v>47</v>
      </c>
      <c r="C44" s="12">
        <v>121</v>
      </c>
      <c r="D44" s="13">
        <f>C44</f>
        <v>121</v>
      </c>
      <c r="F44" s="5" t="s">
        <v>27</v>
      </c>
    </row>
    <row r="45" spans="1:12">
      <c r="A45" s="8" t="s">
        <v>33</v>
      </c>
      <c r="B45" s="9" t="s">
        <v>44</v>
      </c>
      <c r="C45" s="12">
        <v>1628</v>
      </c>
      <c r="D45" s="13">
        <f>$C$41*(1+($G$3/7)*1)</f>
        <v>1686.3000000000002</v>
      </c>
    </row>
    <row r="46" spans="1:12">
      <c r="A46" s="8" t="s">
        <v>33</v>
      </c>
      <c r="B46" s="9" t="s">
        <v>45</v>
      </c>
      <c r="C46" s="12">
        <v>1260</v>
      </c>
      <c r="D46" s="13">
        <f>$C$42*(1+($G$3/7)*1)</f>
        <v>1249.3428571428572</v>
      </c>
    </row>
    <row r="47" spans="1:12">
      <c r="A47" s="8" t="s">
        <v>33</v>
      </c>
      <c r="B47" s="9" t="s">
        <v>46</v>
      </c>
      <c r="C47" s="12">
        <v>37</v>
      </c>
      <c r="D47" s="13">
        <f>$C$43*(1+($G$3/7)*1)</f>
        <v>46.928571428571431</v>
      </c>
    </row>
    <row r="48" spans="1:12">
      <c r="A48" s="8" t="s">
        <v>33</v>
      </c>
      <c r="B48" s="9" t="s">
        <v>47</v>
      </c>
      <c r="C48" s="12">
        <v>104</v>
      </c>
      <c r="D48" s="13">
        <f>$C$44*(1+($G$3/7)*1)</f>
        <v>126.1857142857143</v>
      </c>
    </row>
    <row r="49" spans="1:6">
      <c r="A49" s="8" t="s">
        <v>40</v>
      </c>
      <c r="B49" s="9" t="s">
        <v>44</v>
      </c>
      <c r="C49" s="12">
        <v>1707</v>
      </c>
      <c r="D49" s="13">
        <f>$C$41*(1+($G$3/7)*2)</f>
        <v>1755.6</v>
      </c>
    </row>
    <row r="50" spans="1:6">
      <c r="A50" s="8" t="s">
        <v>40</v>
      </c>
      <c r="B50" s="9" t="s">
        <v>45</v>
      </c>
      <c r="C50" s="12">
        <v>1303</v>
      </c>
      <c r="D50" s="13">
        <f>$C$42*(1+($G$3/7)*2)</f>
        <v>1300.6857142857141</v>
      </c>
    </row>
    <row r="51" spans="1:6">
      <c r="A51" s="8" t="s">
        <v>40</v>
      </c>
      <c r="B51" s="9" t="s">
        <v>46</v>
      </c>
      <c r="C51" s="12">
        <v>54</v>
      </c>
      <c r="D51" s="13">
        <f>$C$43*(1+($G$3/7)*2)</f>
        <v>48.857142857142854</v>
      </c>
    </row>
    <row r="52" spans="1:6">
      <c r="A52" s="8" t="s">
        <v>40</v>
      </c>
      <c r="B52" s="9" t="s">
        <v>47</v>
      </c>
      <c r="C52" s="12">
        <v>90</v>
      </c>
      <c r="D52" s="13">
        <f>$C$44*(1+($G$3/7)*2)</f>
        <v>131.37142857142857</v>
      </c>
    </row>
    <row r="53" spans="1:6">
      <c r="A53" s="8" t="s">
        <v>42</v>
      </c>
      <c r="B53" s="9" t="s">
        <v>44</v>
      </c>
      <c r="C53" s="12">
        <v>1747</v>
      </c>
      <c r="D53" s="13">
        <f>$C$41*(1+($G$3/7)*3)</f>
        <v>1824.9</v>
      </c>
    </row>
    <row r="54" spans="1:6">
      <c r="A54" s="8" t="s">
        <v>42</v>
      </c>
      <c r="B54" s="9" t="s">
        <v>45</v>
      </c>
      <c r="C54" s="12">
        <v>1313</v>
      </c>
      <c r="D54" s="13">
        <f>$C$42*(1+($G$3/7)*3)</f>
        <v>1352.0285714285715</v>
      </c>
    </row>
    <row r="55" spans="1:6">
      <c r="A55" s="8" t="s">
        <v>42</v>
      </c>
      <c r="B55" s="9" t="s">
        <v>46</v>
      </c>
      <c r="C55" s="12">
        <v>62</v>
      </c>
      <c r="D55" s="13">
        <f>$C$43*(1+($G$3/7)*3)</f>
        <v>50.785714285714285</v>
      </c>
    </row>
    <row r="56" spans="1:6">
      <c r="A56" s="10" t="s">
        <v>42</v>
      </c>
      <c r="B56" s="11" t="s">
        <v>47</v>
      </c>
      <c r="C56" s="4">
        <v>119</v>
      </c>
      <c r="D56" s="13">
        <f>$C$44*(1+($G$3/7)*3)</f>
        <v>136.55714285714285</v>
      </c>
    </row>
    <row r="57" spans="1:6" ht="15">
      <c r="A57" s="7" t="s">
        <v>0</v>
      </c>
      <c r="B57" s="7" t="s">
        <v>22</v>
      </c>
      <c r="C57" s="7" t="s">
        <v>23</v>
      </c>
      <c r="D57" s="13"/>
    </row>
    <row r="58" spans="1:6">
      <c r="A58" s="8" t="s">
        <v>25</v>
      </c>
      <c r="B58" s="9" t="s">
        <v>49</v>
      </c>
      <c r="C58" s="12">
        <v>1038</v>
      </c>
      <c r="D58" s="13">
        <f>C58</f>
        <v>1038</v>
      </c>
      <c r="F58" s="5" t="s">
        <v>27</v>
      </c>
    </row>
    <row r="59" spans="1:6">
      <c r="A59" s="8" t="s">
        <v>25</v>
      </c>
      <c r="B59" s="9" t="s">
        <v>50</v>
      </c>
      <c r="C59" s="12">
        <v>1715</v>
      </c>
      <c r="D59" s="13">
        <f>C59</f>
        <v>1715</v>
      </c>
      <c r="F59" s="5" t="s">
        <v>27</v>
      </c>
    </row>
    <row r="60" spans="1:6">
      <c r="A60" s="8" t="s">
        <v>25</v>
      </c>
      <c r="B60" s="9" t="s">
        <v>47</v>
      </c>
      <c r="C60" s="12">
        <v>228</v>
      </c>
      <c r="D60" s="13">
        <f>C60</f>
        <v>228</v>
      </c>
      <c r="F60" s="5" t="s">
        <v>27</v>
      </c>
    </row>
    <row r="61" spans="1:6">
      <c r="A61" s="8" t="s">
        <v>33</v>
      </c>
      <c r="B61" s="9" t="s">
        <v>49</v>
      </c>
      <c r="C61" s="12">
        <v>1064</v>
      </c>
      <c r="D61" s="13">
        <f>$C$58*(1+($G$3/7)*1)</f>
        <v>1082.4857142857143</v>
      </c>
    </row>
    <row r="62" spans="1:6">
      <c r="A62" s="8" t="s">
        <v>33</v>
      </c>
      <c r="B62" s="9" t="s">
        <v>50</v>
      </c>
      <c r="C62" s="12">
        <v>1731</v>
      </c>
      <c r="D62" s="13">
        <f>$C$59*(1+($G$3/7)*1)</f>
        <v>1788.5000000000002</v>
      </c>
    </row>
    <row r="63" spans="1:6">
      <c r="A63" s="8" t="s">
        <v>33</v>
      </c>
      <c r="B63" s="9" t="s">
        <v>47</v>
      </c>
      <c r="C63" s="12">
        <v>234</v>
      </c>
      <c r="D63" s="13">
        <f>$C$60*(1+($G$3/7)*1)</f>
        <v>237.7714285714286</v>
      </c>
    </row>
    <row r="64" spans="1:6">
      <c r="A64" s="8" t="s">
        <v>40</v>
      </c>
      <c r="B64" s="9" t="s">
        <v>49</v>
      </c>
      <c r="C64" s="12">
        <v>1054</v>
      </c>
      <c r="D64" s="13">
        <f>$C$58*(1+($G$3/7)*2)</f>
        <v>1126.9714285714285</v>
      </c>
    </row>
    <row r="65" spans="1:4">
      <c r="A65" s="8" t="s">
        <v>40</v>
      </c>
      <c r="B65" s="9" t="s">
        <v>50</v>
      </c>
      <c r="C65" s="12">
        <v>1853</v>
      </c>
      <c r="D65" s="13">
        <f>$C$59*(1+($G$3/7)*2)</f>
        <v>1861.9999999999998</v>
      </c>
    </row>
    <row r="66" spans="1:4">
      <c r="A66" s="8" t="s">
        <v>40</v>
      </c>
      <c r="B66" s="9" t="s">
        <v>47</v>
      </c>
      <c r="C66" s="12">
        <v>247</v>
      </c>
      <c r="D66" s="13">
        <f>$C$60*(1+($G$3/7)*2)</f>
        <v>247.54285714285712</v>
      </c>
    </row>
    <row r="67" spans="1:4">
      <c r="A67" s="8" t="s">
        <v>42</v>
      </c>
      <c r="B67" s="9" t="s">
        <v>49</v>
      </c>
      <c r="C67" s="12">
        <v>1096</v>
      </c>
      <c r="D67" s="13">
        <f>$C$58*(1+($G$3/7)*3)</f>
        <v>1171.4571428571428</v>
      </c>
    </row>
    <row r="68" spans="1:4">
      <c r="A68" s="8" t="s">
        <v>42</v>
      </c>
      <c r="B68" s="9" t="s">
        <v>50</v>
      </c>
      <c r="C68" s="12">
        <v>1884</v>
      </c>
      <c r="D68" s="13">
        <f>$C$59*(1+($G$3/7)*3)</f>
        <v>1935.5</v>
      </c>
    </row>
    <row r="69" spans="1:4">
      <c r="A69" s="10" t="s">
        <v>42</v>
      </c>
      <c r="B69" s="11" t="s">
        <v>47</v>
      </c>
      <c r="C69" s="4">
        <v>261</v>
      </c>
      <c r="D69" s="13">
        <f>$C$60*(1+($G$3/7)*3)</f>
        <v>257.31428571428569</v>
      </c>
    </row>
  </sheetData>
  <mergeCells count="7">
    <mergeCell ref="G39:L39"/>
    <mergeCell ref="A12:G12"/>
    <mergeCell ref="B13:F13"/>
    <mergeCell ref="B14:F14"/>
    <mergeCell ref="I21:Q22"/>
    <mergeCell ref="G27:L27"/>
    <mergeCell ref="G34:L34"/>
  </mergeCells>
  <conditionalFormatting sqref="L26 L28:L33">
    <cfRule type="beginsWith" dxfId="39" priority="5" operator="beginsWith" text="Met">
      <formula>LEFT(L26,LEN("Met"))="Met"</formula>
    </cfRule>
    <cfRule type="beginsWith" dxfId="38" priority="6" operator="beginsWith" text="Not Met">
      <formula>LEFT(L26,LEN("Not Met"))="Not Met"</formula>
    </cfRule>
  </conditionalFormatting>
  <conditionalFormatting sqref="L35:L38">
    <cfRule type="beginsWith" dxfId="37" priority="3" operator="beginsWith" text="Met">
      <formula>LEFT(L35,LEN("Met"))="Met"</formula>
    </cfRule>
    <cfRule type="beginsWith" dxfId="36" priority="4" operator="beginsWith" text="Not Met">
      <formula>LEFT(L35,LEN("Not Met"))="Not Met"</formula>
    </cfRule>
  </conditionalFormatting>
  <conditionalFormatting sqref="L40:L42">
    <cfRule type="beginsWith" dxfId="35" priority="1" operator="beginsWith" text="Met">
      <formula>LEFT(L40,LEN("Met"))="Met"</formula>
    </cfRule>
    <cfRule type="beginsWith" dxfId="34" priority="2" operator="beginsWith" text="Not Met">
      <formula>LEFT(L40,LEN("Not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F0B4-40F5-4D47-9062-E1760B4C8818}">
  <dimension ref="A1:Q69"/>
  <sheetViews>
    <sheetView workbookViewId="0">
      <selection activeCell="C9" sqref="C9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1004</v>
      </c>
      <c r="C2" s="1">
        <f>$G$2</f>
        <v>1004</v>
      </c>
      <c r="D2" s="3" t="s">
        <v>7</v>
      </c>
      <c r="F2" t="s">
        <v>8</v>
      </c>
      <c r="G2" s="1">
        <f>B2</f>
        <v>1004</v>
      </c>
    </row>
    <row r="3" spans="1:7">
      <c r="A3" t="s">
        <v>9</v>
      </c>
      <c r="B3" s="28">
        <v>1182</v>
      </c>
      <c r="C3" s="1">
        <f t="shared" ref="C3:C9" si="0">$G$2*(1+$G$3*(ROW()-ROW($C$2))/$G$4)</f>
        <v>1047.0285714285715</v>
      </c>
      <c r="D3" s="18">
        <f t="shared" ref="D3:D9" si="1">B3-C3</f>
        <v>134.97142857142853</v>
      </c>
      <c r="F3" t="s">
        <v>10</v>
      </c>
      <c r="G3" s="15">
        <v>0.3</v>
      </c>
    </row>
    <row r="4" spans="1:7">
      <c r="A4" t="s">
        <v>11</v>
      </c>
      <c r="B4" s="28">
        <v>1094</v>
      </c>
      <c r="C4" s="1">
        <f t="shared" si="0"/>
        <v>1090.0571428571427</v>
      </c>
      <c r="D4" s="18">
        <f t="shared" si="1"/>
        <v>3.9428571428572923</v>
      </c>
      <c r="F4" t="s">
        <v>12</v>
      </c>
      <c r="G4">
        <v>7</v>
      </c>
    </row>
    <row r="5" spans="1:7">
      <c r="A5" t="s">
        <v>13</v>
      </c>
      <c r="B5" s="28">
        <v>1286</v>
      </c>
      <c r="C5" s="1">
        <f t="shared" si="0"/>
        <v>1133.0857142857142</v>
      </c>
      <c r="D5" s="18">
        <f t="shared" si="1"/>
        <v>152.91428571428582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29">
        <f t="shared" si="0"/>
        <v>1176.1142857142859</v>
      </c>
      <c r="D6" s="18">
        <f t="shared" si="1"/>
        <v>-1176.1142857142859</v>
      </c>
      <c r="F6" t="s">
        <v>10</v>
      </c>
      <c r="G6" s="17">
        <f>($G$2*G3)+G2</f>
        <v>1305.2</v>
      </c>
    </row>
    <row r="7" spans="1:7">
      <c r="A7" t="s">
        <v>16</v>
      </c>
      <c r="B7" s="1"/>
      <c r="C7" s="1">
        <f t="shared" si="0"/>
        <v>1219.1428571428571</v>
      </c>
      <c r="D7" s="18">
        <f t="shared" si="1"/>
        <v>-1219.1428571428571</v>
      </c>
    </row>
    <row r="8" spans="1:7">
      <c r="A8" t="s">
        <v>17</v>
      </c>
      <c r="B8" s="1"/>
      <c r="C8" s="1">
        <f t="shared" si="0"/>
        <v>1262.1714285714286</v>
      </c>
      <c r="D8" s="18">
        <f t="shared" si="1"/>
        <v>-1262.1714285714286</v>
      </c>
      <c r="F8" t="s">
        <v>18</v>
      </c>
    </row>
    <row r="9" spans="1:7">
      <c r="A9" t="s">
        <v>19</v>
      </c>
      <c r="B9" s="1"/>
      <c r="C9" s="1">
        <f t="shared" si="0"/>
        <v>1305.2</v>
      </c>
      <c r="D9" s="18">
        <f t="shared" si="1"/>
        <v>-1305.2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22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26</v>
      </c>
      <c r="C16" s="13">
        <v>247</v>
      </c>
      <c r="D16" s="13">
        <f t="shared" ref="D16:D21" si="2">C16</f>
        <v>247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28</v>
      </c>
      <c r="C17" s="13">
        <v>20</v>
      </c>
      <c r="D17" s="13">
        <f t="shared" si="2"/>
        <v>20</v>
      </c>
      <c r="E17" s="5"/>
      <c r="F17" s="5" t="s">
        <v>27</v>
      </c>
    </row>
    <row r="18" spans="1:17">
      <c r="A18" s="8" t="s">
        <v>25</v>
      </c>
      <c r="B18" s="9" t="s">
        <v>29</v>
      </c>
      <c r="C18" s="13">
        <v>518</v>
      </c>
      <c r="D18" s="13">
        <f t="shared" si="2"/>
        <v>518</v>
      </c>
      <c r="F18" s="5" t="s">
        <v>27</v>
      </c>
    </row>
    <row r="19" spans="1:17">
      <c r="A19" s="8" t="s">
        <v>25</v>
      </c>
      <c r="B19" s="9" t="s">
        <v>30</v>
      </c>
      <c r="C19" s="13">
        <v>62</v>
      </c>
      <c r="D19" s="13">
        <f t="shared" si="2"/>
        <v>62</v>
      </c>
      <c r="F19" s="5" t="s">
        <v>27</v>
      </c>
    </row>
    <row r="20" spans="1:17">
      <c r="A20" s="8" t="s">
        <v>25</v>
      </c>
      <c r="B20" s="9" t="s">
        <v>31</v>
      </c>
      <c r="C20" s="13">
        <v>67</v>
      </c>
      <c r="D20" s="13">
        <f t="shared" si="2"/>
        <v>67</v>
      </c>
      <c r="F20" s="5" t="s">
        <v>27</v>
      </c>
    </row>
    <row r="21" spans="1:17">
      <c r="A21" s="8" t="s">
        <v>25</v>
      </c>
      <c r="B21" s="9" t="s">
        <v>32</v>
      </c>
      <c r="C21" s="13">
        <v>84</v>
      </c>
      <c r="D21" s="13">
        <f t="shared" si="2"/>
        <v>84</v>
      </c>
      <c r="F21" s="5" t="s">
        <v>27</v>
      </c>
      <c r="I21" s="68"/>
      <c r="J21" s="70"/>
      <c r="K21" s="70"/>
      <c r="L21" s="70"/>
      <c r="M21" s="70"/>
      <c r="N21" s="70"/>
      <c r="O21" s="70"/>
      <c r="P21" s="70"/>
      <c r="Q21" s="70"/>
    </row>
    <row r="22" spans="1:17">
      <c r="A22" s="8" t="s">
        <v>33</v>
      </c>
      <c r="B22" s="9" t="s">
        <v>26</v>
      </c>
      <c r="C22" s="13">
        <v>273</v>
      </c>
      <c r="D22" s="13">
        <f>$C$16*(1+($G$3/7)*1)</f>
        <v>257.58571428571429</v>
      </c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8" t="s">
        <v>33</v>
      </c>
      <c r="B23" s="9" t="s">
        <v>28</v>
      </c>
      <c r="C23" s="13">
        <v>17</v>
      </c>
      <c r="D23" s="13">
        <f>$C$17*(1+($G$3/7)*1)</f>
        <v>20.857142857142858</v>
      </c>
    </row>
    <row r="24" spans="1:17" ht="15">
      <c r="A24" s="8" t="s">
        <v>33</v>
      </c>
      <c r="B24" s="9" t="s">
        <v>29</v>
      </c>
      <c r="C24" s="13">
        <v>640</v>
      </c>
      <c r="D24" s="13">
        <f>$C$18*(1+($G$3/7)*1)</f>
        <v>540.20000000000005</v>
      </c>
      <c r="G24" s="7" t="s">
        <v>34</v>
      </c>
    </row>
    <row r="25" spans="1:17">
      <c r="A25" s="8" t="s">
        <v>33</v>
      </c>
      <c r="B25" s="9" t="s">
        <v>30</v>
      </c>
      <c r="C25" s="13">
        <v>62</v>
      </c>
      <c r="D25" s="13">
        <f>$C$19*(1+($G$3/7)*1)</f>
        <v>64.657142857142858</v>
      </c>
    </row>
    <row r="26" spans="1:17" ht="31.5">
      <c r="A26" s="8" t="s">
        <v>33</v>
      </c>
      <c r="B26" s="9" t="s">
        <v>31</v>
      </c>
      <c r="C26" s="13">
        <v>93</v>
      </c>
      <c r="D26" s="13">
        <f>$C$20*(1+($G$3/7)*1)</f>
        <v>69.871428571428581</v>
      </c>
      <c r="G26" s="19" t="s">
        <v>22</v>
      </c>
      <c r="H26" s="20" t="s">
        <v>35</v>
      </c>
      <c r="I26" s="21" t="s">
        <v>36</v>
      </c>
      <c r="J26" s="21" t="s">
        <v>37</v>
      </c>
      <c r="K26" s="21" t="s">
        <v>3</v>
      </c>
      <c r="L26" s="20" t="s">
        <v>38</v>
      </c>
    </row>
    <row r="27" spans="1:17" ht="15.75">
      <c r="A27" s="8" t="s">
        <v>33</v>
      </c>
      <c r="B27" s="9" t="s">
        <v>32</v>
      </c>
      <c r="C27" s="13">
        <v>96</v>
      </c>
      <c r="D27" s="13">
        <f>$C$21*(1+($G$3/7)*1)</f>
        <v>87.600000000000009</v>
      </c>
      <c r="G27" s="64" t="s">
        <v>39</v>
      </c>
      <c r="H27" s="65"/>
      <c r="I27" s="65"/>
      <c r="J27" s="65"/>
      <c r="K27" s="65"/>
      <c r="L27" s="66"/>
    </row>
    <row r="28" spans="1:17" ht="15.75">
      <c r="A28" s="8" t="s">
        <v>40</v>
      </c>
      <c r="B28" s="9" t="s">
        <v>26</v>
      </c>
      <c r="C28" s="13">
        <v>271</v>
      </c>
      <c r="D28" s="13">
        <f>$C$16*(1+($G$3/7)*2)</f>
        <v>268.17142857142858</v>
      </c>
      <c r="G28" s="22" t="s">
        <v>26</v>
      </c>
      <c r="H28" s="24">
        <f>$C$16</f>
        <v>247</v>
      </c>
      <c r="I28" s="25">
        <f t="shared" ref="I28:I33" si="3">D34</f>
        <v>278.75714285714287</v>
      </c>
      <c r="J28" s="25">
        <f t="shared" ref="J28:J33" si="4">C34</f>
        <v>339</v>
      </c>
      <c r="K28" s="26">
        <f t="shared" ref="K28:K33" si="5">J28-I28</f>
        <v>60.242857142857133</v>
      </c>
      <c r="L28" s="23" t="str">
        <f t="shared" ref="L28:L33" si="6">IF(K28&lt;0, "Not Met","Met")</f>
        <v>Met</v>
      </c>
    </row>
    <row r="29" spans="1:17" ht="31.5">
      <c r="A29" s="8" t="s">
        <v>40</v>
      </c>
      <c r="B29" s="9" t="s">
        <v>28</v>
      </c>
      <c r="C29" s="13">
        <v>27</v>
      </c>
      <c r="D29" s="13">
        <f>$C$17*(1+($G$3/7)*2)</f>
        <v>21.714285714285712</v>
      </c>
      <c r="G29" s="22" t="s">
        <v>41</v>
      </c>
      <c r="H29" s="24">
        <f>$C$17</f>
        <v>20</v>
      </c>
      <c r="I29" s="25">
        <f t="shared" si="3"/>
        <v>22.571428571428569</v>
      </c>
      <c r="J29" s="25">
        <f t="shared" si="4"/>
        <v>24</v>
      </c>
      <c r="K29" s="26">
        <f t="shared" si="5"/>
        <v>1.4285714285714306</v>
      </c>
      <c r="L29" s="23" t="str">
        <f t="shared" si="6"/>
        <v>Met</v>
      </c>
    </row>
    <row r="30" spans="1:17" ht="15.75">
      <c r="A30" s="8" t="s">
        <v>40</v>
      </c>
      <c r="B30" s="9" t="s">
        <v>29</v>
      </c>
      <c r="C30" s="13">
        <v>538</v>
      </c>
      <c r="D30" s="13">
        <f>$C$18*(1+($G$3/7)*2)</f>
        <v>562.4</v>
      </c>
      <c r="G30" s="22" t="s">
        <v>29</v>
      </c>
      <c r="H30" s="24">
        <f>$C$18</f>
        <v>518</v>
      </c>
      <c r="I30" s="25">
        <f t="shared" si="3"/>
        <v>584.6</v>
      </c>
      <c r="J30" s="25">
        <f t="shared" si="4"/>
        <v>652</v>
      </c>
      <c r="K30" s="26">
        <f t="shared" si="5"/>
        <v>67.399999999999977</v>
      </c>
      <c r="L30" s="23" t="str">
        <f t="shared" si="6"/>
        <v>Met</v>
      </c>
    </row>
    <row r="31" spans="1:17" ht="15.75">
      <c r="A31" s="8" t="s">
        <v>40</v>
      </c>
      <c r="B31" s="9" t="s">
        <v>30</v>
      </c>
      <c r="C31" s="13">
        <v>61</v>
      </c>
      <c r="D31" s="13">
        <f>$C$19*(1+($G$3/7)*2)</f>
        <v>67.314285714285703</v>
      </c>
      <c r="G31" s="22" t="s">
        <v>30</v>
      </c>
      <c r="H31" s="24">
        <f>$C$19</f>
        <v>62</v>
      </c>
      <c r="I31" s="25">
        <f t="shared" si="3"/>
        <v>69.971428571428575</v>
      </c>
      <c r="J31" s="25">
        <f t="shared" si="4"/>
        <v>59</v>
      </c>
      <c r="K31" s="26">
        <f t="shared" si="5"/>
        <v>-10.971428571428575</v>
      </c>
      <c r="L31" s="23" t="str">
        <f t="shared" si="6"/>
        <v>Not Met</v>
      </c>
    </row>
    <row r="32" spans="1:17" ht="31.5">
      <c r="A32" s="8" t="s">
        <v>40</v>
      </c>
      <c r="B32" s="9" t="s">
        <v>31</v>
      </c>
      <c r="C32" s="13">
        <v>106</v>
      </c>
      <c r="D32" s="13">
        <f>$C$20*(1+($G$3/7)*2)</f>
        <v>72.742857142857133</v>
      </c>
      <c r="G32" s="22" t="s">
        <v>31</v>
      </c>
      <c r="H32" s="24">
        <f>$C$20</f>
        <v>67</v>
      </c>
      <c r="I32" s="25">
        <f t="shared" si="3"/>
        <v>75.614285714285714</v>
      </c>
      <c r="J32" s="25">
        <f t="shared" si="4"/>
        <v>104</v>
      </c>
      <c r="K32" s="26">
        <f t="shared" si="5"/>
        <v>28.385714285714286</v>
      </c>
      <c r="L32" s="23" t="str">
        <f t="shared" si="6"/>
        <v>Met</v>
      </c>
    </row>
    <row r="33" spans="1:12" ht="15.75">
      <c r="A33" s="8" t="s">
        <v>40</v>
      </c>
      <c r="B33" s="9" t="s">
        <v>32</v>
      </c>
      <c r="C33" s="13">
        <v>86</v>
      </c>
      <c r="D33" s="13">
        <f>$C$21*(1+($G$3/7)*2)</f>
        <v>91.199999999999989</v>
      </c>
      <c r="G33" s="22" t="s">
        <v>32</v>
      </c>
      <c r="H33" s="24">
        <f>$C$21</f>
        <v>84</v>
      </c>
      <c r="I33" s="25">
        <f t="shared" si="3"/>
        <v>94.8</v>
      </c>
      <c r="J33" s="25">
        <f t="shared" si="4"/>
        <v>90</v>
      </c>
      <c r="K33" s="26">
        <f t="shared" si="5"/>
        <v>-4.7999999999999972</v>
      </c>
      <c r="L33" s="23" t="str">
        <f t="shared" si="6"/>
        <v>Not Met</v>
      </c>
    </row>
    <row r="34" spans="1:12" ht="15.75">
      <c r="A34" s="8" t="s">
        <v>42</v>
      </c>
      <c r="B34" s="9" t="s">
        <v>26</v>
      </c>
      <c r="C34" s="13">
        <v>339</v>
      </c>
      <c r="D34" s="13">
        <f>$C$16*(1+($G$3/7)*3)</f>
        <v>278.75714285714287</v>
      </c>
      <c r="G34" s="64" t="s">
        <v>43</v>
      </c>
      <c r="H34" s="65"/>
      <c r="I34" s="65"/>
      <c r="J34" s="65"/>
      <c r="K34" s="65"/>
      <c r="L34" s="66"/>
    </row>
    <row r="35" spans="1:12" ht="15.75">
      <c r="A35" s="8" t="s">
        <v>42</v>
      </c>
      <c r="B35" s="9" t="s">
        <v>28</v>
      </c>
      <c r="C35" s="13">
        <v>24</v>
      </c>
      <c r="D35" s="13">
        <f>$C$17*(1+($G$3/7)*3)</f>
        <v>22.571428571428569</v>
      </c>
      <c r="G35" s="22" t="s">
        <v>44</v>
      </c>
      <c r="H35" s="24">
        <f>$D$41</f>
        <v>781</v>
      </c>
      <c r="I35" s="25">
        <f>D53</f>
        <v>881.41428571428571</v>
      </c>
      <c r="J35" s="25">
        <f>C53</f>
        <v>946</v>
      </c>
      <c r="K35" s="26">
        <f>J35-I35</f>
        <v>64.585714285714289</v>
      </c>
      <c r="L35" s="23" t="str">
        <f>IF(K35&lt;0, "Not Met","Met")</f>
        <v>Met</v>
      </c>
    </row>
    <row r="36" spans="1:12" ht="15.75">
      <c r="A36" s="8" t="s">
        <v>42</v>
      </c>
      <c r="B36" s="9" t="s">
        <v>29</v>
      </c>
      <c r="C36" s="13">
        <v>652</v>
      </c>
      <c r="D36" s="13">
        <f>$C$18*(1+($G$3/7)*3)</f>
        <v>584.6</v>
      </c>
      <c r="G36" s="22" t="s">
        <v>45</v>
      </c>
      <c r="H36" s="24">
        <f>$D$42</f>
        <v>193</v>
      </c>
      <c r="I36" s="25">
        <f>D54</f>
        <v>217.81428571428572</v>
      </c>
      <c r="J36" s="25">
        <f>C54</f>
        <v>277</v>
      </c>
      <c r="K36" s="26">
        <f>J36-I36</f>
        <v>59.185714285714283</v>
      </c>
      <c r="L36" s="23" t="str">
        <f>IF(K36&lt;0, "Not Met","Met")</f>
        <v>Met</v>
      </c>
    </row>
    <row r="37" spans="1:12" ht="15.75">
      <c r="A37" s="8" t="s">
        <v>42</v>
      </c>
      <c r="B37" s="9" t="s">
        <v>30</v>
      </c>
      <c r="C37" s="13">
        <v>59</v>
      </c>
      <c r="D37" s="13">
        <f>$C$19*(1+($G$3/7)*3)</f>
        <v>69.971428571428575</v>
      </c>
      <c r="G37" s="22" t="s">
        <v>47</v>
      </c>
      <c r="H37" s="24">
        <f>$D$44</f>
        <v>29</v>
      </c>
      <c r="I37" s="25">
        <f>D55</f>
        <v>0</v>
      </c>
      <c r="J37" s="25">
        <f>C55</f>
        <v>0</v>
      </c>
      <c r="K37" s="26">
        <f>J37-I37</f>
        <v>0</v>
      </c>
      <c r="L37" s="23" t="str">
        <f>IF(K37&lt;0, "Not Met","Met")</f>
        <v>Met</v>
      </c>
    </row>
    <row r="38" spans="1:12" ht="15.75">
      <c r="A38" s="8" t="s">
        <v>42</v>
      </c>
      <c r="B38" s="9" t="s">
        <v>31</v>
      </c>
      <c r="C38" s="13">
        <v>104</v>
      </c>
      <c r="D38" s="13">
        <f>$C$20*(1+($G$3/7)*3)</f>
        <v>75.614285714285714</v>
      </c>
      <c r="G38" s="30" t="s">
        <v>48</v>
      </c>
      <c r="H38" s="31"/>
      <c r="I38" s="31"/>
      <c r="J38" s="31"/>
      <c r="K38" s="31"/>
      <c r="L38" s="32"/>
    </row>
    <row r="39" spans="1:12" ht="31.5">
      <c r="A39" s="10" t="s">
        <v>42</v>
      </c>
      <c r="B39" s="11" t="s">
        <v>32</v>
      </c>
      <c r="C39" s="13">
        <v>90</v>
      </c>
      <c r="D39" s="13">
        <f>$C$21*(1+($G$3/7)*3)</f>
        <v>94.8</v>
      </c>
      <c r="G39" s="22" t="s">
        <v>49</v>
      </c>
      <c r="H39" s="24">
        <f>$D$58</f>
        <v>332</v>
      </c>
      <c r="I39" s="25">
        <f>D67</f>
        <v>374.68571428571425</v>
      </c>
      <c r="J39" s="25">
        <f>C67</f>
        <v>429</v>
      </c>
      <c r="K39" s="26">
        <f>J39-I39</f>
        <v>54.314285714285745</v>
      </c>
      <c r="L39" s="23" t="str">
        <f>IF(K39&lt;0, "Not Met","Met")</f>
        <v>Met</v>
      </c>
    </row>
    <row r="40" spans="1:12" ht="47.25">
      <c r="A40" s="7" t="s">
        <v>0</v>
      </c>
      <c r="B40" s="7" t="s">
        <v>22</v>
      </c>
      <c r="C40" s="7" t="s">
        <v>23</v>
      </c>
      <c r="D40" s="13"/>
      <c r="G40" s="22" t="s">
        <v>50</v>
      </c>
      <c r="H40" s="24">
        <f>$D$59</f>
        <v>232</v>
      </c>
      <c r="I40" s="25">
        <f>D68</f>
        <v>261.82857142857142</v>
      </c>
      <c r="J40" s="25">
        <f>C68</f>
        <v>335</v>
      </c>
      <c r="K40" s="26">
        <f>J40-I40</f>
        <v>73.171428571428578</v>
      </c>
      <c r="L40" s="23" t="str">
        <f>IF(K40&lt;0, "Not Met","Met")</f>
        <v>Met</v>
      </c>
    </row>
    <row r="41" spans="1:12" ht="15.75">
      <c r="A41" s="8" t="s">
        <v>25</v>
      </c>
      <c r="B41" s="9" t="s">
        <v>44</v>
      </c>
      <c r="C41" s="12">
        <v>781</v>
      </c>
      <c r="D41" s="13">
        <f>C41</f>
        <v>781</v>
      </c>
      <c r="F41" s="5" t="s">
        <v>27</v>
      </c>
      <c r="G41" s="22" t="s">
        <v>47</v>
      </c>
      <c r="H41" s="24">
        <f>$D$60</f>
        <v>440</v>
      </c>
      <c r="I41" s="25">
        <f>D69</f>
        <v>496.57142857142856</v>
      </c>
      <c r="J41" s="25">
        <f>C69</f>
        <v>522</v>
      </c>
      <c r="K41" s="26">
        <f>J41-I41</f>
        <v>25.428571428571445</v>
      </c>
      <c r="L41" s="23" t="str">
        <f>IF(K41&lt;0, "Not Met","Met")</f>
        <v>Met</v>
      </c>
    </row>
    <row r="42" spans="1:12">
      <c r="A42" s="8" t="s">
        <v>25</v>
      </c>
      <c r="B42" s="9" t="s">
        <v>45</v>
      </c>
      <c r="C42" s="12">
        <v>193</v>
      </c>
      <c r="D42" s="13">
        <f>C42</f>
        <v>193</v>
      </c>
      <c r="F42" s="5" t="s">
        <v>27</v>
      </c>
      <c r="G42" s="14" t="s">
        <v>51</v>
      </c>
    </row>
    <row r="43" spans="1:12">
      <c r="A43" s="8" t="s">
        <v>25</v>
      </c>
      <c r="B43" s="9" t="s">
        <v>46</v>
      </c>
      <c r="C43" s="12"/>
      <c r="D43" s="13"/>
      <c r="F43" s="5" t="s">
        <v>27</v>
      </c>
    </row>
    <row r="44" spans="1:12">
      <c r="A44" s="8" t="s">
        <v>25</v>
      </c>
      <c r="B44" s="9" t="s">
        <v>47</v>
      </c>
      <c r="C44" s="12">
        <v>29</v>
      </c>
      <c r="D44" s="13">
        <f>C44</f>
        <v>29</v>
      </c>
      <c r="F44" s="5" t="s">
        <v>27</v>
      </c>
    </row>
    <row r="45" spans="1:12">
      <c r="A45" s="8" t="s">
        <v>33</v>
      </c>
      <c r="B45" s="9" t="s">
        <v>44</v>
      </c>
      <c r="C45" s="12">
        <v>875</v>
      </c>
      <c r="D45" s="13">
        <f>$C$41*(1+($G$3/7)*1)</f>
        <v>814.47142857142865</v>
      </c>
    </row>
    <row r="46" spans="1:12">
      <c r="A46" s="8" t="s">
        <v>33</v>
      </c>
      <c r="B46" s="9" t="s">
        <v>45</v>
      </c>
      <c r="C46" s="12">
        <v>257</v>
      </c>
      <c r="D46" s="13">
        <f>$C$42*(1+($G$3/7)*1)</f>
        <v>201.27142857142857</v>
      </c>
    </row>
    <row r="47" spans="1:12">
      <c r="A47" s="8" t="s">
        <v>33</v>
      </c>
      <c r="B47" s="9" t="s">
        <v>46</v>
      </c>
      <c r="C47" s="12"/>
      <c r="D47" s="13">
        <f>$C$43*(1+($G$3/7)*1)</f>
        <v>0</v>
      </c>
    </row>
    <row r="48" spans="1:12">
      <c r="A48" s="8" t="s">
        <v>33</v>
      </c>
      <c r="B48" s="9" t="s">
        <v>47</v>
      </c>
      <c r="C48" s="12">
        <v>45</v>
      </c>
      <c r="D48" s="13"/>
    </row>
    <row r="49" spans="1:6">
      <c r="A49" s="8" t="s">
        <v>40</v>
      </c>
      <c r="B49" s="9" t="s">
        <v>44</v>
      </c>
      <c r="C49" s="12">
        <v>775</v>
      </c>
      <c r="D49" s="13">
        <f>$C$41*(1+($G$3/7)*2)</f>
        <v>847.94285714285706</v>
      </c>
    </row>
    <row r="50" spans="1:6">
      <c r="A50" s="8" t="s">
        <v>40</v>
      </c>
      <c r="B50" s="9" t="s">
        <v>45</v>
      </c>
      <c r="C50" s="12">
        <v>270</v>
      </c>
      <c r="D50" s="13">
        <f>$C$42*(1+($G$3/7)*2)</f>
        <v>209.54285714285712</v>
      </c>
    </row>
    <row r="51" spans="1:6">
      <c r="A51" s="8" t="s">
        <v>40</v>
      </c>
      <c r="B51" s="9" t="s">
        <v>46</v>
      </c>
      <c r="C51" s="12"/>
      <c r="D51" s="13">
        <f>$C$43*(1+($G$3/7)*2)</f>
        <v>0</v>
      </c>
    </row>
    <row r="52" spans="1:6">
      <c r="A52" s="8" t="s">
        <v>40</v>
      </c>
      <c r="B52" s="9" t="s">
        <v>47</v>
      </c>
      <c r="C52" s="12">
        <v>48</v>
      </c>
      <c r="D52" s="13"/>
    </row>
    <row r="53" spans="1:6">
      <c r="A53" s="8" t="s">
        <v>42</v>
      </c>
      <c r="B53" s="9" t="s">
        <v>44</v>
      </c>
      <c r="C53" s="12">
        <v>946</v>
      </c>
      <c r="D53" s="13">
        <f>$C$41*(1+($G$3/7)*3)</f>
        <v>881.41428571428571</v>
      </c>
    </row>
    <row r="54" spans="1:6">
      <c r="A54" s="8" t="s">
        <v>42</v>
      </c>
      <c r="B54" s="9" t="s">
        <v>45</v>
      </c>
      <c r="C54" s="12">
        <v>277</v>
      </c>
      <c r="D54" s="13">
        <f>$C$42*(1+($G$3/7)*3)</f>
        <v>217.81428571428572</v>
      </c>
    </row>
    <row r="55" spans="1:6">
      <c r="A55" s="8" t="s">
        <v>42</v>
      </c>
      <c r="B55" s="9" t="s">
        <v>46</v>
      </c>
      <c r="C55" s="12"/>
      <c r="D55" s="13">
        <f>$C$43*(1+($G$3/7)*3)</f>
        <v>0</v>
      </c>
    </row>
    <row r="56" spans="1:6">
      <c r="A56" s="10" t="s">
        <v>42</v>
      </c>
      <c r="B56" s="11" t="s">
        <v>47</v>
      </c>
      <c r="C56" s="4">
        <v>61</v>
      </c>
      <c r="D56" s="13">
        <f>$C$44*(1+($G$3/7)*3)</f>
        <v>32.728571428571428</v>
      </c>
    </row>
    <row r="57" spans="1:6" ht="15">
      <c r="A57" s="7" t="s">
        <v>0</v>
      </c>
      <c r="B57" s="7" t="s">
        <v>22</v>
      </c>
      <c r="C57" s="7" t="s">
        <v>23</v>
      </c>
      <c r="D57" s="13"/>
    </row>
    <row r="58" spans="1:6">
      <c r="A58" s="8" t="s">
        <v>25</v>
      </c>
      <c r="B58" s="9" t="s">
        <v>49</v>
      </c>
      <c r="C58" s="12">
        <v>332</v>
      </c>
      <c r="D58" s="13">
        <f>C58</f>
        <v>332</v>
      </c>
      <c r="F58" s="5" t="s">
        <v>27</v>
      </c>
    </row>
    <row r="59" spans="1:6">
      <c r="A59" s="8" t="s">
        <v>25</v>
      </c>
      <c r="B59" s="9" t="s">
        <v>50</v>
      </c>
      <c r="C59" s="12">
        <v>232</v>
      </c>
      <c r="D59" s="13">
        <f>C59</f>
        <v>232</v>
      </c>
      <c r="F59" s="5" t="s">
        <v>27</v>
      </c>
    </row>
    <row r="60" spans="1:6">
      <c r="A60" s="8" t="s">
        <v>25</v>
      </c>
      <c r="B60" s="9" t="s">
        <v>47</v>
      </c>
      <c r="C60" s="12">
        <v>440</v>
      </c>
      <c r="D60" s="13">
        <f>C60</f>
        <v>440</v>
      </c>
      <c r="F60" s="5" t="s">
        <v>27</v>
      </c>
    </row>
    <row r="61" spans="1:6">
      <c r="A61" s="8" t="s">
        <v>33</v>
      </c>
      <c r="B61" s="9" t="s">
        <v>49</v>
      </c>
      <c r="C61" s="12">
        <v>372</v>
      </c>
      <c r="D61" s="13">
        <f>$C$58*(1+($G$3/7)*1)</f>
        <v>346.22857142857146</v>
      </c>
    </row>
    <row r="62" spans="1:6">
      <c r="A62" s="8" t="s">
        <v>33</v>
      </c>
      <c r="B62" s="9" t="s">
        <v>50</v>
      </c>
      <c r="C62" s="12">
        <v>242</v>
      </c>
      <c r="D62" s="13">
        <f>$C$59*(1+($G$3/7)*1)</f>
        <v>241.94285714285715</v>
      </c>
    </row>
    <row r="63" spans="1:6">
      <c r="A63" s="8" t="s">
        <v>33</v>
      </c>
      <c r="B63" s="9" t="s">
        <v>47</v>
      </c>
      <c r="C63" s="12">
        <v>568</v>
      </c>
      <c r="D63" s="13">
        <f>$C$60*(1+($G$3/7)*1)</f>
        <v>458.85714285714289</v>
      </c>
    </row>
    <row r="64" spans="1:6">
      <c r="A64" s="8" t="s">
        <v>40</v>
      </c>
      <c r="B64" s="9" t="s">
        <v>49</v>
      </c>
      <c r="C64" s="12">
        <v>344</v>
      </c>
      <c r="D64" s="13">
        <f>$C$58*(1+($G$3/7)*2)</f>
        <v>360.45714285714286</v>
      </c>
    </row>
    <row r="65" spans="1:4">
      <c r="A65" s="8" t="s">
        <v>40</v>
      </c>
      <c r="B65" s="9" t="s">
        <v>50</v>
      </c>
      <c r="C65" s="12">
        <v>259</v>
      </c>
      <c r="D65" s="13">
        <f>$C$59*(1+($G$3/7)*2)</f>
        <v>251.88571428571427</v>
      </c>
    </row>
    <row r="66" spans="1:4">
      <c r="A66" s="8" t="s">
        <v>40</v>
      </c>
      <c r="B66" s="9" t="s">
        <v>47</v>
      </c>
      <c r="C66" s="12">
        <v>491</v>
      </c>
      <c r="D66" s="13">
        <f>$C$60*(1+($G$3/7)*2)</f>
        <v>477.71428571428567</v>
      </c>
    </row>
    <row r="67" spans="1:4">
      <c r="A67" s="8" t="s">
        <v>42</v>
      </c>
      <c r="B67" s="9" t="s">
        <v>49</v>
      </c>
      <c r="C67" s="12">
        <v>429</v>
      </c>
      <c r="D67" s="13">
        <f>$C$58*(1+($G$3/7)*3)</f>
        <v>374.68571428571425</v>
      </c>
    </row>
    <row r="68" spans="1:4">
      <c r="A68" s="8" t="s">
        <v>42</v>
      </c>
      <c r="B68" s="9" t="s">
        <v>50</v>
      </c>
      <c r="C68" s="12">
        <v>335</v>
      </c>
      <c r="D68" s="13">
        <f>$C$59*(1+($G$3/7)*3)</f>
        <v>261.82857142857142</v>
      </c>
    </row>
    <row r="69" spans="1:4">
      <c r="A69" s="10" t="s">
        <v>42</v>
      </c>
      <c r="B69" s="11" t="s">
        <v>47</v>
      </c>
      <c r="C69" s="4">
        <v>522</v>
      </c>
      <c r="D69" s="13">
        <f>$C$60*(1+($G$3/7)*3)</f>
        <v>496.57142857142856</v>
      </c>
    </row>
  </sheetData>
  <mergeCells count="6">
    <mergeCell ref="G34:L34"/>
    <mergeCell ref="A12:G12"/>
    <mergeCell ref="B13:F13"/>
    <mergeCell ref="B14:F14"/>
    <mergeCell ref="I21:Q22"/>
    <mergeCell ref="G27:L27"/>
  </mergeCells>
  <conditionalFormatting sqref="L26 L28:L33">
    <cfRule type="beginsWith" dxfId="33" priority="5" operator="beginsWith" text="Met">
      <formula>LEFT(L26,LEN("Met"))="Met"</formula>
    </cfRule>
    <cfRule type="beginsWith" dxfId="32" priority="6" operator="beginsWith" text="Not Met">
      <formula>LEFT(L26,LEN("Not Met"))="Not Met"</formula>
    </cfRule>
  </conditionalFormatting>
  <conditionalFormatting sqref="L35:L37">
    <cfRule type="beginsWith" dxfId="31" priority="3" operator="beginsWith" text="Met">
      <formula>LEFT(L35,LEN("Met"))="Met"</formula>
    </cfRule>
    <cfRule type="beginsWith" dxfId="30" priority="4" operator="beginsWith" text="Not Met">
      <formula>LEFT(L35,LEN("Not Met"))="Not Met"</formula>
    </cfRule>
  </conditionalFormatting>
  <conditionalFormatting sqref="L39:L41">
    <cfRule type="beginsWith" dxfId="29" priority="1" operator="beginsWith" text="Met">
      <formula>LEFT(L39,LEN("Met"))="Met"</formula>
    </cfRule>
    <cfRule type="beginsWith" dxfId="28" priority="2" operator="beginsWith" text="Not Met">
      <formula>LEFT(L39,LEN("Not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5628-A281-4A49-AF8C-0E21BAB4D361}">
  <dimension ref="A1:Q69"/>
  <sheetViews>
    <sheetView workbookViewId="0">
      <selection activeCell="L26" sqref="L26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1</v>
      </c>
      <c r="C2" s="56">
        <f>$G$2</f>
        <v>1</v>
      </c>
      <c r="D2" s="3" t="s">
        <v>7</v>
      </c>
      <c r="F2" t="s">
        <v>8</v>
      </c>
      <c r="G2" s="1">
        <f>B2</f>
        <v>1</v>
      </c>
    </row>
    <row r="3" spans="1:7">
      <c r="A3" t="s">
        <v>9</v>
      </c>
      <c r="B3" s="28">
        <v>4</v>
      </c>
      <c r="C3" s="56">
        <f t="shared" ref="C3" si="0">$G$2*(1+$G$3*(ROW()-ROW($C$2))/$G$4)</f>
        <v>1.0428571428571429</v>
      </c>
      <c r="D3" s="18">
        <f t="shared" ref="D3:D9" si="1">B3-C3</f>
        <v>2.9571428571428573</v>
      </c>
      <c r="F3" t="s">
        <v>10</v>
      </c>
      <c r="G3" s="15">
        <v>0.3</v>
      </c>
    </row>
    <row r="4" spans="1:7">
      <c r="A4" t="s">
        <v>11</v>
      </c>
      <c r="B4" s="28">
        <v>6</v>
      </c>
      <c r="C4" s="56">
        <v>2</v>
      </c>
      <c r="D4" s="18">
        <f t="shared" si="1"/>
        <v>4</v>
      </c>
      <c r="F4" t="s">
        <v>12</v>
      </c>
      <c r="G4">
        <v>7</v>
      </c>
    </row>
    <row r="5" spans="1:7">
      <c r="A5" t="s">
        <v>13</v>
      </c>
      <c r="B5" s="28">
        <v>4</v>
      </c>
      <c r="C5" s="56">
        <v>2</v>
      </c>
      <c r="D5" s="18">
        <f t="shared" si="1"/>
        <v>2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57">
        <v>2</v>
      </c>
      <c r="D6" s="18">
        <f t="shared" si="1"/>
        <v>-2</v>
      </c>
      <c r="F6" t="s">
        <v>10</v>
      </c>
      <c r="G6" s="45">
        <f>($G$2*G3)+G2</f>
        <v>1.3</v>
      </c>
    </row>
    <row r="7" spans="1:7">
      <c r="A7" t="s">
        <v>16</v>
      </c>
      <c r="B7" s="1"/>
      <c r="C7" s="56">
        <v>2</v>
      </c>
      <c r="D7" s="18">
        <f t="shared" si="1"/>
        <v>-2</v>
      </c>
    </row>
    <row r="8" spans="1:7">
      <c r="A8" t="s">
        <v>17</v>
      </c>
      <c r="B8" s="1"/>
      <c r="C8" s="56">
        <v>2</v>
      </c>
      <c r="D8" s="18">
        <f t="shared" si="1"/>
        <v>-2</v>
      </c>
      <c r="F8" t="s">
        <v>18</v>
      </c>
    </row>
    <row r="9" spans="1:7">
      <c r="A9" t="s">
        <v>19</v>
      </c>
      <c r="B9" s="1"/>
      <c r="C9" s="56">
        <v>2</v>
      </c>
      <c r="D9" s="18">
        <f t="shared" si="1"/>
        <v>-2</v>
      </c>
      <c r="F9" t="s">
        <v>20</v>
      </c>
    </row>
    <row r="10" spans="1:7">
      <c r="F10" t="s">
        <v>21</v>
      </c>
    </row>
    <row r="11" spans="1:7">
      <c r="A11" s="58" t="s">
        <v>52</v>
      </c>
    </row>
    <row r="12" spans="1:7" ht="15">
      <c r="A12" s="44"/>
      <c r="B12" s="44"/>
      <c r="C12" s="44"/>
      <c r="D12" s="44"/>
      <c r="E12" s="44"/>
      <c r="F12" s="44"/>
      <c r="G12" s="44"/>
    </row>
    <row r="13" spans="1:7" s="6" customFormat="1">
      <c r="A13" s="5"/>
      <c r="B13" s="5"/>
      <c r="C13" s="5"/>
      <c r="D13" s="5"/>
      <c r="E13" s="5"/>
      <c r="F13" s="5"/>
      <c r="G13" s="5"/>
    </row>
    <row r="14" spans="1:7" s="6" customFormat="1">
      <c r="A14" s="5"/>
      <c r="B14" s="5"/>
      <c r="C14" s="5"/>
      <c r="D14" s="5"/>
      <c r="E14" s="5"/>
      <c r="F14" s="5"/>
      <c r="G14" s="5"/>
    </row>
    <row r="15" spans="1:7" s="6" customFormat="1" ht="15">
      <c r="A15" s="7"/>
      <c r="B15" s="7"/>
      <c r="C15" s="7"/>
      <c r="D15" s="7"/>
      <c r="E15" s="5"/>
      <c r="F15" s="5"/>
      <c r="G15" s="5"/>
    </row>
    <row r="16" spans="1:7" s="6" customFormat="1">
      <c r="A16"/>
      <c r="B16"/>
      <c r="C16" s="34"/>
      <c r="D16" s="34"/>
      <c r="E16" s="5"/>
      <c r="F16" s="5"/>
      <c r="G16" s="5"/>
    </row>
    <row r="17" spans="1:17" s="6" customFormat="1">
      <c r="A17"/>
      <c r="B17"/>
      <c r="C17" s="34"/>
      <c r="D17" s="34"/>
      <c r="E17" s="5"/>
      <c r="F17" s="5"/>
    </row>
    <row r="18" spans="1:17">
      <c r="C18" s="34"/>
      <c r="D18" s="34"/>
      <c r="F18" s="5"/>
    </row>
    <row r="19" spans="1:17">
      <c r="C19" s="34"/>
      <c r="D19" s="34"/>
      <c r="F19" s="5"/>
    </row>
    <row r="20" spans="1:17">
      <c r="C20" s="34"/>
      <c r="D20" s="34"/>
      <c r="F20" s="5"/>
    </row>
    <row r="21" spans="1:17">
      <c r="C21" s="34"/>
      <c r="D21" s="34"/>
      <c r="F21" s="5"/>
      <c r="I21" s="68" t="s">
        <v>53</v>
      </c>
      <c r="J21" s="70"/>
      <c r="K21" s="70"/>
      <c r="L21" s="70"/>
      <c r="M21" s="70"/>
      <c r="N21" s="70"/>
      <c r="O21" s="70"/>
      <c r="P21" s="70"/>
      <c r="Q21" s="70"/>
    </row>
    <row r="22" spans="1:17">
      <c r="C22" s="34"/>
      <c r="D22" s="34"/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C23" s="34"/>
      <c r="D23" s="34"/>
    </row>
    <row r="24" spans="1:17" ht="15">
      <c r="C24" s="34"/>
      <c r="D24" s="34"/>
      <c r="G24" s="7"/>
    </row>
    <row r="25" spans="1:17">
      <c r="C25" s="34"/>
      <c r="D25" s="34"/>
    </row>
    <row r="26" spans="1:17" ht="15.75">
      <c r="C26" s="34"/>
      <c r="D26" s="34"/>
      <c r="G26" s="35"/>
      <c r="H26" s="36"/>
      <c r="I26" s="37"/>
      <c r="J26" s="37"/>
      <c r="K26" s="37"/>
      <c r="L26" s="36"/>
    </row>
    <row r="27" spans="1:17" ht="15.75">
      <c r="C27" s="34"/>
      <c r="D27" s="34"/>
      <c r="G27" s="43"/>
      <c r="H27" s="43"/>
      <c r="I27" s="43"/>
      <c r="J27" s="43"/>
      <c r="K27" s="43"/>
      <c r="L27" s="43"/>
    </row>
    <row r="28" spans="1:17" ht="15.75">
      <c r="C28" s="34"/>
      <c r="D28" s="34"/>
      <c r="G28" s="38"/>
      <c r="H28" s="39"/>
      <c r="I28" s="40"/>
      <c r="J28" s="40"/>
      <c r="K28" s="41"/>
      <c r="L28" s="42"/>
    </row>
    <row r="29" spans="1:17" ht="15.75">
      <c r="C29" s="34"/>
      <c r="D29" s="34"/>
      <c r="G29" s="38"/>
      <c r="H29" s="39"/>
      <c r="I29" s="40"/>
      <c r="J29" s="40"/>
      <c r="K29" s="41"/>
      <c r="L29" s="42"/>
    </row>
    <row r="30" spans="1:17" ht="15.75">
      <c r="C30" s="34"/>
      <c r="D30" s="34"/>
      <c r="G30" s="38"/>
      <c r="H30" s="39"/>
      <c r="I30" s="40"/>
      <c r="J30" s="40"/>
      <c r="K30" s="41"/>
      <c r="L30" s="42"/>
    </row>
    <row r="31" spans="1:17" ht="15.75">
      <c r="C31" s="34"/>
      <c r="D31" s="34"/>
      <c r="G31" s="38"/>
      <c r="H31" s="39"/>
      <c r="I31" s="40"/>
      <c r="J31" s="40"/>
      <c r="K31" s="41"/>
      <c r="L31" s="42"/>
    </row>
    <row r="32" spans="1:17" ht="15.75">
      <c r="C32" s="34"/>
      <c r="D32" s="34"/>
      <c r="G32" s="38"/>
      <c r="H32" s="39"/>
      <c r="I32" s="40"/>
      <c r="J32" s="40"/>
      <c r="K32" s="41"/>
      <c r="L32" s="42"/>
    </row>
    <row r="33" spans="1:12" ht="15.75">
      <c r="C33" s="34"/>
      <c r="D33" s="34"/>
      <c r="G33" s="38"/>
      <c r="H33" s="39"/>
      <c r="I33" s="40"/>
      <c r="J33" s="40"/>
      <c r="K33" s="41"/>
      <c r="L33" s="42"/>
    </row>
    <row r="34" spans="1:12" ht="15.75">
      <c r="C34" s="34"/>
      <c r="D34" s="34"/>
      <c r="G34" s="43"/>
      <c r="H34" s="43"/>
      <c r="I34" s="43"/>
      <c r="J34" s="43"/>
      <c r="K34" s="43"/>
      <c r="L34" s="43"/>
    </row>
    <row r="35" spans="1:12" ht="15.75">
      <c r="C35" s="34"/>
      <c r="D35" s="34"/>
      <c r="G35" s="38"/>
      <c r="H35" s="39"/>
      <c r="I35" s="40"/>
      <c r="J35" s="40"/>
      <c r="K35" s="41"/>
      <c r="L35" s="42"/>
    </row>
    <row r="36" spans="1:12" ht="15.75">
      <c r="C36" s="34"/>
      <c r="D36" s="34"/>
      <c r="G36" s="38"/>
      <c r="H36" s="39"/>
      <c r="I36" s="40"/>
      <c r="J36" s="40"/>
      <c r="K36" s="41"/>
      <c r="L36" s="42"/>
    </row>
    <row r="37" spans="1:12" ht="15.75">
      <c r="C37" s="34"/>
      <c r="D37" s="34"/>
      <c r="G37" s="38"/>
      <c r="H37" s="39"/>
      <c r="I37" s="40"/>
      <c r="J37" s="40"/>
      <c r="K37" s="41"/>
      <c r="L37" s="42"/>
    </row>
    <row r="38" spans="1:12" ht="15.75">
      <c r="C38" s="34"/>
      <c r="D38" s="34"/>
      <c r="G38" s="38"/>
      <c r="H38" s="39"/>
      <c r="I38" s="40"/>
      <c r="J38" s="40"/>
      <c r="K38" s="41"/>
      <c r="L38" s="42"/>
    </row>
    <row r="39" spans="1:12" ht="15.75">
      <c r="C39" s="34"/>
      <c r="D39" s="34"/>
      <c r="G39" s="43"/>
      <c r="H39" s="43"/>
      <c r="I39" s="43"/>
      <c r="J39" s="43"/>
      <c r="K39" s="43"/>
      <c r="L39" s="43"/>
    </row>
    <row r="40" spans="1:12" ht="15.75">
      <c r="A40" s="7"/>
      <c r="B40" s="7"/>
      <c r="C40" s="7"/>
      <c r="D40" s="34"/>
      <c r="G40" s="38"/>
      <c r="H40" s="39"/>
      <c r="I40" s="40"/>
      <c r="J40" s="40"/>
      <c r="K40" s="41"/>
      <c r="L40" s="42"/>
    </row>
    <row r="41" spans="1:12" ht="15.75">
      <c r="C41" s="1"/>
      <c r="D41" s="34"/>
      <c r="F41" s="5"/>
      <c r="G41" s="38"/>
      <c r="H41" s="39"/>
      <c r="I41" s="40"/>
      <c r="J41" s="40"/>
      <c r="K41" s="41"/>
      <c r="L41" s="42"/>
    </row>
    <row r="42" spans="1:12" ht="15.75">
      <c r="C42" s="1"/>
      <c r="D42" s="34"/>
      <c r="F42" s="5"/>
      <c r="G42" s="38"/>
      <c r="H42" s="39"/>
      <c r="I42" s="40"/>
      <c r="J42" s="40"/>
      <c r="K42" s="41"/>
      <c r="L42" s="42"/>
    </row>
    <row r="43" spans="1:12">
      <c r="C43" s="1"/>
      <c r="D43" s="34"/>
      <c r="F43" s="5"/>
      <c r="G43" s="14"/>
    </row>
    <row r="44" spans="1:12">
      <c r="C44" s="1"/>
      <c r="D44" s="34"/>
      <c r="F44" s="5"/>
    </row>
    <row r="45" spans="1:12">
      <c r="C45" s="1"/>
      <c r="D45" s="34"/>
    </row>
    <row r="46" spans="1:12">
      <c r="C46" s="1"/>
      <c r="D46" s="34"/>
    </row>
    <row r="47" spans="1:12">
      <c r="C47" s="1"/>
      <c r="D47" s="34"/>
    </row>
    <row r="48" spans="1:12">
      <c r="C48" s="1"/>
      <c r="D48" s="34"/>
    </row>
    <row r="49" spans="1:6">
      <c r="C49" s="1"/>
      <c r="D49" s="34"/>
    </row>
    <row r="50" spans="1:6">
      <c r="C50" s="1"/>
      <c r="D50" s="34"/>
    </row>
    <row r="51" spans="1:6">
      <c r="C51" s="1"/>
      <c r="D51" s="34"/>
    </row>
    <row r="52" spans="1:6">
      <c r="C52" s="1"/>
      <c r="D52" s="34"/>
    </row>
    <row r="53" spans="1:6">
      <c r="C53" s="1"/>
      <c r="D53" s="34"/>
    </row>
    <row r="54" spans="1:6">
      <c r="C54" s="1"/>
      <c r="D54" s="34"/>
    </row>
    <row r="55" spans="1:6">
      <c r="C55" s="1"/>
      <c r="D55" s="34"/>
    </row>
    <row r="56" spans="1:6">
      <c r="C56" s="1"/>
      <c r="D56" s="34"/>
    </row>
    <row r="57" spans="1:6" ht="15">
      <c r="A57" s="7"/>
      <c r="B57" s="7"/>
      <c r="C57" s="7"/>
      <c r="D57" s="34"/>
    </row>
    <row r="58" spans="1:6">
      <c r="C58" s="1"/>
      <c r="D58" s="34"/>
      <c r="F58" s="5"/>
    </row>
    <row r="59" spans="1:6">
      <c r="C59" s="1"/>
      <c r="D59" s="34"/>
      <c r="F59" s="5"/>
    </row>
    <row r="60" spans="1:6">
      <c r="C60" s="1"/>
      <c r="D60" s="34"/>
      <c r="F60" s="5"/>
    </row>
    <row r="61" spans="1:6">
      <c r="C61" s="1"/>
      <c r="D61" s="34"/>
    </row>
    <row r="62" spans="1:6">
      <c r="C62" s="1"/>
      <c r="D62" s="34"/>
    </row>
    <row r="63" spans="1:6">
      <c r="C63" s="1"/>
      <c r="D63" s="34"/>
    </row>
    <row r="64" spans="1:6">
      <c r="C64" s="1"/>
      <c r="D64" s="34"/>
    </row>
    <row r="65" spans="3:4">
      <c r="C65" s="1"/>
      <c r="D65" s="34"/>
    </row>
    <row r="66" spans="3:4">
      <c r="C66" s="1"/>
      <c r="D66" s="34"/>
    </row>
    <row r="67" spans="3:4">
      <c r="C67" s="1"/>
      <c r="D67" s="34"/>
    </row>
    <row r="68" spans="3:4">
      <c r="C68" s="1"/>
      <c r="D68" s="34"/>
    </row>
    <row r="69" spans="3:4">
      <c r="C69" s="1"/>
      <c r="D69" s="34"/>
    </row>
  </sheetData>
  <mergeCells count="1">
    <mergeCell ref="I21:Q22"/>
  </mergeCells>
  <conditionalFormatting sqref="L26 L28:L33">
    <cfRule type="beginsWith" dxfId="27" priority="5" operator="beginsWith" text="Met">
      <formula>LEFT(L26,LEN("Met"))="Met"</formula>
    </cfRule>
    <cfRule type="beginsWith" dxfId="26" priority="6" operator="beginsWith" text="Not Met">
      <formula>LEFT(L26,LEN("Not Met"))="Not Met"</formula>
    </cfRule>
  </conditionalFormatting>
  <conditionalFormatting sqref="L35:L38">
    <cfRule type="beginsWith" dxfId="25" priority="3" operator="beginsWith" text="Met">
      <formula>LEFT(L35,LEN("Met"))="Met"</formula>
    </cfRule>
    <cfRule type="beginsWith" dxfId="24" priority="4" operator="beginsWith" text="Not Met">
      <formula>LEFT(L35,LEN("Not Met"))="Not Met"</formula>
    </cfRule>
  </conditionalFormatting>
  <conditionalFormatting sqref="L40:L42">
    <cfRule type="beginsWith" dxfId="23" priority="1" operator="beginsWith" text="Met">
      <formula>LEFT(L40,LEN("Met"))="Met"</formula>
    </cfRule>
    <cfRule type="beginsWith" dxfId="22" priority="2" operator="beginsWith" text="Not Met">
      <formula>LEFT(L40,LEN("Not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715D-3CEA-4520-B5E9-7E02828CA8FF}">
  <dimension ref="A1:Q69"/>
  <sheetViews>
    <sheetView workbookViewId="0">
      <selection activeCell="M24" sqref="M24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82.644809312638586</v>
      </c>
      <c r="C2" s="1">
        <f>$G$2</f>
        <v>82.644809312638586</v>
      </c>
      <c r="D2" s="3" t="s">
        <v>7</v>
      </c>
      <c r="F2" t="s">
        <v>8</v>
      </c>
      <c r="G2" s="1">
        <f>B2</f>
        <v>82.644809312638586</v>
      </c>
    </row>
    <row r="3" spans="1:7">
      <c r="A3" t="s">
        <v>9</v>
      </c>
      <c r="B3" s="28">
        <v>83.002614155251138</v>
      </c>
      <c r="C3" s="1">
        <f>$G$2-(($G$2-60)*$G$3*(ROW()-ROW($C$2))/$G$4)</f>
        <v>81.997814760848911</v>
      </c>
      <c r="D3" s="18">
        <f>B3-C3</f>
        <v>1.0047993944022267</v>
      </c>
      <c r="F3" t="s">
        <v>54</v>
      </c>
      <c r="G3" s="27">
        <v>0.2</v>
      </c>
    </row>
    <row r="4" spans="1:7">
      <c r="A4" t="s">
        <v>11</v>
      </c>
      <c r="B4" s="28">
        <v>83.475418803418805</v>
      </c>
      <c r="C4" s="1">
        <f t="shared" ref="C4:C9" si="0">$G$2-(($G$2-60)*$G$3*(ROW()-ROW($C$2))/$G$4)</f>
        <v>81.350820209059236</v>
      </c>
      <c r="D4" s="18">
        <f t="shared" ref="D4:D9" si="1">B4-C4</f>
        <v>2.1245985943595684</v>
      </c>
      <c r="F4" t="s">
        <v>12</v>
      </c>
      <c r="G4">
        <v>7</v>
      </c>
    </row>
    <row r="5" spans="1:7">
      <c r="A5" t="s">
        <v>13</v>
      </c>
      <c r="B5" s="28">
        <v>82.123755037115586</v>
      </c>
      <c r="C5" s="1">
        <f t="shared" si="0"/>
        <v>80.703825657269562</v>
      </c>
      <c r="D5" s="18">
        <f t="shared" si="1"/>
        <v>1.4199293798460246</v>
      </c>
      <c r="F5" t="s">
        <v>14</v>
      </c>
      <c r="G5" s="16">
        <f>G3/G4</f>
        <v>2.8571428571428574E-2</v>
      </c>
    </row>
    <row r="6" spans="1:7">
      <c r="A6" t="s">
        <v>15</v>
      </c>
      <c r="B6" s="1"/>
      <c r="C6" s="29">
        <f t="shared" si="0"/>
        <v>80.056831105479887</v>
      </c>
      <c r="D6" s="18">
        <f t="shared" si="1"/>
        <v>-80.056831105479887</v>
      </c>
      <c r="F6" t="s">
        <v>55</v>
      </c>
      <c r="G6" s="17">
        <f>$G$2-(($G$2-60)*$G$3)</f>
        <v>78.115847450110863</v>
      </c>
    </row>
    <row r="7" spans="1:7">
      <c r="A7" t="s">
        <v>16</v>
      </c>
      <c r="B7" s="1"/>
      <c r="C7" s="1">
        <f t="shared" si="0"/>
        <v>79.409836553690212</v>
      </c>
      <c r="D7" s="18">
        <f t="shared" si="1"/>
        <v>-79.409836553690212</v>
      </c>
    </row>
    <row r="8" spans="1:7" ht="15">
      <c r="A8" t="s">
        <v>17</v>
      </c>
      <c r="B8" s="1"/>
      <c r="C8" s="1">
        <f t="shared" si="0"/>
        <v>78.762842001900538</v>
      </c>
      <c r="D8" s="18">
        <f t="shared" si="1"/>
        <v>-78.762842001900538</v>
      </c>
      <c r="F8" t="s">
        <v>56</v>
      </c>
    </row>
    <row r="9" spans="1:7">
      <c r="A9" t="s">
        <v>19</v>
      </c>
      <c r="B9" s="1"/>
      <c r="C9" s="1">
        <f t="shared" si="0"/>
        <v>78.115847450110863</v>
      </c>
      <c r="D9" s="18">
        <f t="shared" si="1"/>
        <v>-78.115847450110863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22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26</v>
      </c>
      <c r="C16" s="13">
        <v>84.99132508833921</v>
      </c>
      <c r="D16" s="13">
        <f>C16</f>
        <v>84.99132508833921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28</v>
      </c>
      <c r="C17" s="13">
        <v>81.887297297297295</v>
      </c>
      <c r="D17" s="13">
        <f t="shared" ref="D17:D21" si="2">C17</f>
        <v>81.887297297297295</v>
      </c>
      <c r="E17" s="5"/>
      <c r="F17" s="5" t="s">
        <v>27</v>
      </c>
    </row>
    <row r="18" spans="1:17">
      <c r="A18" s="8" t="s">
        <v>25</v>
      </c>
      <c r="B18" s="9" t="s">
        <v>29</v>
      </c>
      <c r="C18" s="13">
        <v>82.383696289062499</v>
      </c>
      <c r="D18" s="13">
        <f t="shared" si="2"/>
        <v>82.383696289062499</v>
      </c>
      <c r="F18" s="5" t="s">
        <v>27</v>
      </c>
    </row>
    <row r="19" spans="1:17">
      <c r="A19" s="8" t="s">
        <v>25</v>
      </c>
      <c r="B19" s="9" t="s">
        <v>30</v>
      </c>
      <c r="C19" s="13">
        <v>79.518951048951038</v>
      </c>
      <c r="D19" s="13">
        <f t="shared" si="2"/>
        <v>79.518951048951038</v>
      </c>
      <c r="F19" s="5" t="s">
        <v>27</v>
      </c>
    </row>
    <row r="20" spans="1:17">
      <c r="A20" s="8" t="s">
        <v>25</v>
      </c>
      <c r="B20" s="9" t="s">
        <v>31</v>
      </c>
      <c r="C20" s="13">
        <v>79.376296296296289</v>
      </c>
      <c r="D20" s="13">
        <f t="shared" si="2"/>
        <v>79.376296296296289</v>
      </c>
      <c r="F20" s="5" t="s">
        <v>27</v>
      </c>
    </row>
    <row r="21" spans="1:17">
      <c r="A21" s="8" t="s">
        <v>25</v>
      </c>
      <c r="B21" s="9" t="s">
        <v>32</v>
      </c>
      <c r="C21" s="13">
        <v>82.800984615384621</v>
      </c>
      <c r="D21" s="13">
        <f t="shared" si="2"/>
        <v>82.800984615384621</v>
      </c>
      <c r="F21" s="5" t="s">
        <v>27</v>
      </c>
      <c r="I21" s="68"/>
      <c r="J21" s="70"/>
      <c r="K21" s="70"/>
      <c r="L21" s="70"/>
      <c r="M21" s="70"/>
      <c r="N21" s="70"/>
      <c r="O21" s="70"/>
      <c r="P21" s="70"/>
      <c r="Q21" s="70"/>
    </row>
    <row r="22" spans="1:17">
      <c r="A22" s="8" t="s">
        <v>33</v>
      </c>
      <c r="B22" s="9" t="s">
        <v>26</v>
      </c>
      <c r="C22" s="13">
        <v>87.095832752613248</v>
      </c>
      <c r="D22" s="13">
        <f>$C$16-(($C$16-60)*$G$3/7)*1</f>
        <v>84.277287228672378</v>
      </c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8" t="s">
        <v>33</v>
      </c>
      <c r="B23" s="9" t="s">
        <v>28</v>
      </c>
      <c r="C23" s="13">
        <v>85.889705882352942</v>
      </c>
      <c r="D23" s="13">
        <f>$C$17-(($C$17-60)*$G$3/7)*1</f>
        <v>81.261945945945939</v>
      </c>
    </row>
    <row r="24" spans="1:17" ht="15">
      <c r="A24" s="8" t="s">
        <v>33</v>
      </c>
      <c r="B24" s="9" t="s">
        <v>29</v>
      </c>
      <c r="C24" s="13">
        <v>80.923943123061008</v>
      </c>
      <c r="D24" s="13">
        <f>$C$18-(($C$18-60)*$G$3/7)*1</f>
        <v>81.744162109374997</v>
      </c>
      <c r="G24" s="7" t="s">
        <v>34</v>
      </c>
    </row>
    <row r="25" spans="1:17">
      <c r="A25" s="8" t="s">
        <v>33</v>
      </c>
      <c r="B25" s="9" t="s">
        <v>30</v>
      </c>
      <c r="C25" s="13">
        <v>81.989693641618501</v>
      </c>
      <c r="D25" s="13">
        <f>$C$19-(($C$19-60)*$G$3/7)*1</f>
        <v>78.961266733266726</v>
      </c>
    </row>
    <row r="26" spans="1:17" ht="31.5">
      <c r="A26" s="8" t="s">
        <v>33</v>
      </c>
      <c r="B26" s="9" t="s">
        <v>31</v>
      </c>
      <c r="C26" s="13">
        <v>89.375</v>
      </c>
      <c r="D26" s="13">
        <f>$C$20-(($C$20-60)*$G$3/7)*1</f>
        <v>78.822687830687826</v>
      </c>
      <c r="G26" s="19" t="s">
        <v>22</v>
      </c>
      <c r="H26" s="20" t="s">
        <v>35</v>
      </c>
      <c r="I26" s="21" t="s">
        <v>36</v>
      </c>
      <c r="J26" s="21" t="s">
        <v>37</v>
      </c>
      <c r="K26" s="21" t="s">
        <v>3</v>
      </c>
      <c r="L26" s="20" t="s">
        <v>38</v>
      </c>
    </row>
    <row r="27" spans="1:17" ht="15.75">
      <c r="A27" s="8" t="s">
        <v>33</v>
      </c>
      <c r="B27" s="9" t="s">
        <v>32</v>
      </c>
      <c r="C27" s="13">
        <v>85.930967213114755</v>
      </c>
      <c r="D27" s="13">
        <f>$C$21-(($C$21-60)*$G$3/7)*1</f>
        <v>82.149527912087919</v>
      </c>
      <c r="G27" s="64" t="s">
        <v>39</v>
      </c>
      <c r="H27" s="65"/>
      <c r="I27" s="65"/>
      <c r="J27" s="65"/>
      <c r="K27" s="65"/>
      <c r="L27" s="66"/>
    </row>
    <row r="28" spans="1:17" ht="15.75">
      <c r="A28" s="8" t="s">
        <v>40</v>
      </c>
      <c r="B28" s="9" t="s">
        <v>26</v>
      </c>
      <c r="C28" s="13">
        <v>88.329539215686268</v>
      </c>
      <c r="D28" s="13">
        <f>$C$16-(($C$16-60)*$G$3/7)*2</f>
        <v>83.563249369005547</v>
      </c>
      <c r="G28" s="22" t="s">
        <v>26</v>
      </c>
      <c r="H28" s="24">
        <f>$C$16</f>
        <v>84.99132508833921</v>
      </c>
      <c r="I28" s="25">
        <f>D34</f>
        <v>82.849211509338701</v>
      </c>
      <c r="J28" s="25">
        <f>C34</f>
        <v>86.20734519572953</v>
      </c>
      <c r="K28" s="26">
        <f>J28-I28</f>
        <v>3.3581336863908291</v>
      </c>
      <c r="L28" s="23" t="str">
        <f t="shared" ref="L28:L32" si="3">IF(K28&gt;0, "Not Met","Met")</f>
        <v>Not Met</v>
      </c>
    </row>
    <row r="29" spans="1:17" ht="31.5">
      <c r="A29" s="8" t="s">
        <v>40</v>
      </c>
      <c r="B29" s="9" t="s">
        <v>28</v>
      </c>
      <c r="C29" s="13">
        <v>94.018292682926827</v>
      </c>
      <c r="D29" s="13">
        <f>$C$17-(($C$17-60)*$G$3/7)*2</f>
        <v>80.636594594594598</v>
      </c>
      <c r="G29" s="22" t="s">
        <v>41</v>
      </c>
      <c r="H29" s="24">
        <f>$C$17</f>
        <v>81.887297297297295</v>
      </c>
      <c r="I29" s="25">
        <f t="shared" ref="I29:I31" si="4">D35</f>
        <v>80.011243243243243</v>
      </c>
      <c r="J29" s="25">
        <f t="shared" ref="J29:J31" si="5">C35</f>
        <v>83.523255813953483</v>
      </c>
      <c r="K29" s="26">
        <f t="shared" ref="K29:K32" si="6">J29-I29</f>
        <v>3.5120125707102403</v>
      </c>
      <c r="L29" s="23" t="str">
        <f t="shared" si="3"/>
        <v>Not Met</v>
      </c>
    </row>
    <row r="30" spans="1:17" ht="15.75">
      <c r="A30" s="8" t="s">
        <v>40</v>
      </c>
      <c r="B30" s="9" t="s">
        <v>29</v>
      </c>
      <c r="C30" s="13">
        <v>82.069387890255427</v>
      </c>
      <c r="D30" s="13">
        <f>$C$18-(($C$18-60)*$G$3/7)*2</f>
        <v>81.104627929687496</v>
      </c>
      <c r="G30" s="22" t="s">
        <v>29</v>
      </c>
      <c r="H30" s="24">
        <f>$C$18</f>
        <v>82.383696289062499</v>
      </c>
      <c r="I30" s="25">
        <f t="shared" si="4"/>
        <v>80.465093749999994</v>
      </c>
      <c r="J30" s="25">
        <f t="shared" si="5"/>
        <v>80.321779453345897</v>
      </c>
      <c r="K30" s="26">
        <f t="shared" si="6"/>
        <v>-0.14331429665409701</v>
      </c>
      <c r="L30" s="23" t="str">
        <f t="shared" si="3"/>
        <v>Met</v>
      </c>
    </row>
    <row r="31" spans="1:17" ht="15.75">
      <c r="A31" s="8" t="s">
        <v>40</v>
      </c>
      <c r="B31" s="9" t="s">
        <v>30</v>
      </c>
      <c r="C31" s="13">
        <v>81.239092896174867</v>
      </c>
      <c r="D31" s="13">
        <f>$C$19-(($C$19-60)*$G$3/7)*2</f>
        <v>78.403582417582413</v>
      </c>
      <c r="G31" s="22" t="s">
        <v>30</v>
      </c>
      <c r="H31" s="24">
        <f>$C$19</f>
        <v>79.518951048951038</v>
      </c>
      <c r="I31" s="25">
        <f t="shared" si="4"/>
        <v>77.845898101898086</v>
      </c>
      <c r="J31" s="25">
        <f t="shared" si="5"/>
        <v>82.196616504854376</v>
      </c>
      <c r="K31" s="26">
        <f t="shared" si="6"/>
        <v>4.3507184029562893</v>
      </c>
      <c r="L31" s="23" t="str">
        <f t="shared" si="3"/>
        <v>Not Met</v>
      </c>
    </row>
    <row r="32" spans="1:17" ht="15.75">
      <c r="A32" s="8" t="s">
        <v>40</v>
      </c>
      <c r="B32" s="9" t="s">
        <v>31</v>
      </c>
      <c r="C32" s="13">
        <v>80.868068965517239</v>
      </c>
      <c r="D32" s="13">
        <f>$C$20-(($C$20-60)*$G$3/7)*2</f>
        <v>78.269079365079364</v>
      </c>
      <c r="G32" s="22" t="s">
        <v>32</v>
      </c>
      <c r="H32" s="24">
        <f>$C$21</f>
        <v>82.800984615384621</v>
      </c>
      <c r="I32" s="25">
        <f>D39</f>
        <v>80.846614505494514</v>
      </c>
      <c r="J32" s="25">
        <f>C39</f>
        <v>84.786294776119405</v>
      </c>
      <c r="K32" s="26">
        <f t="shared" si="6"/>
        <v>3.9396802706248906</v>
      </c>
      <c r="L32" s="23" t="str">
        <f t="shared" si="3"/>
        <v>Not Met</v>
      </c>
    </row>
    <row r="33" spans="1:12" ht="15.75">
      <c r="A33" s="8" t="s">
        <v>40</v>
      </c>
      <c r="B33" s="9" t="s">
        <v>32</v>
      </c>
      <c r="C33" s="13">
        <v>84.057475000000011</v>
      </c>
      <c r="D33" s="13">
        <f>$C$21-(($C$21-60)*$G$3/7)*2</f>
        <v>81.498071208791217</v>
      </c>
      <c r="G33" s="64" t="s">
        <v>43</v>
      </c>
      <c r="H33" s="65"/>
      <c r="I33" s="65"/>
      <c r="J33" s="65"/>
      <c r="K33" s="65"/>
      <c r="L33" s="66"/>
    </row>
    <row r="34" spans="1:12" ht="15.75">
      <c r="A34" s="8" t="s">
        <v>42</v>
      </c>
      <c r="B34" s="9" t="s">
        <v>26</v>
      </c>
      <c r="C34" s="13">
        <v>86.20734519572953</v>
      </c>
      <c r="D34" s="13">
        <f>$C$16-(($C$16-60)*$G$3/7)*3</f>
        <v>82.849211509338701</v>
      </c>
      <c r="G34" s="22" t="s">
        <v>44</v>
      </c>
      <c r="H34" s="24">
        <f>$C$41</f>
        <v>81.952997014925373</v>
      </c>
      <c r="I34" s="25">
        <f>D53</f>
        <v>80.071311556503204</v>
      </c>
      <c r="J34" s="25">
        <f>C53</f>
        <v>80.867437262357413</v>
      </c>
      <c r="K34" s="26">
        <f>J34-I34</f>
        <v>0.79612570585420883</v>
      </c>
      <c r="L34" s="23" t="str">
        <f>IF(K34&gt;0, "Not Met","Met")</f>
        <v>Not Met</v>
      </c>
    </row>
    <row r="35" spans="1:12" ht="15.75">
      <c r="A35" s="8" t="s">
        <v>42</v>
      </c>
      <c r="B35" s="9" t="s">
        <v>28</v>
      </c>
      <c r="C35" s="13">
        <v>83.523255813953483</v>
      </c>
      <c r="D35" s="13">
        <f>$C$17-(($C$17-60)*$G$3/7)*3</f>
        <v>80.011243243243243</v>
      </c>
      <c r="G35" s="22" t="s">
        <v>45</v>
      </c>
      <c r="H35" s="24">
        <f>$C$42</f>
        <v>82.496130372492829</v>
      </c>
      <c r="I35" s="25">
        <f>D54</f>
        <v>80.567890626279151</v>
      </c>
      <c r="J35" s="25">
        <f>C54</f>
        <v>82.815647632311979</v>
      </c>
      <c r="K35" s="26">
        <f t="shared" ref="K35:K36" si="7">J35-I35</f>
        <v>2.2477570060328276</v>
      </c>
      <c r="L35" s="23" t="str">
        <f>IF(K35&gt;0, "Not Met","Met")</f>
        <v>Not Met</v>
      </c>
    </row>
    <row r="36" spans="1:12" ht="15.75">
      <c r="A36" s="8" t="s">
        <v>42</v>
      </c>
      <c r="B36" s="9" t="s">
        <v>29</v>
      </c>
      <c r="C36" s="13">
        <v>80.321779453345897</v>
      </c>
      <c r="D36" s="13">
        <f>$C$18-(($C$18-60)*$G$3/7)*3</f>
        <v>80.465093749999994</v>
      </c>
      <c r="G36" s="22" t="s">
        <v>46</v>
      </c>
      <c r="H36" s="24">
        <f>$C$43</f>
        <v>83.416964285714286</v>
      </c>
      <c r="I36" s="25">
        <f>D55</f>
        <v>81.409795918367351</v>
      </c>
      <c r="J36" s="25">
        <f>C55</f>
        <v>84.914893617021278</v>
      </c>
      <c r="K36" s="26">
        <f t="shared" si="7"/>
        <v>3.5050976986539268</v>
      </c>
      <c r="L36" s="23" t="str">
        <f>IF(K36&gt;0, "Not Met","Met")</f>
        <v>Not Met</v>
      </c>
    </row>
    <row r="37" spans="1:12" ht="15.75">
      <c r="A37" s="8" t="s">
        <v>42</v>
      </c>
      <c r="B37" s="9" t="s">
        <v>30</v>
      </c>
      <c r="C37" s="13">
        <v>82.196616504854376</v>
      </c>
      <c r="D37" s="13">
        <f>$C$19-(($C$19-60)*$G$3/7)*3</f>
        <v>77.845898101898086</v>
      </c>
      <c r="G37" s="64" t="s">
        <v>48</v>
      </c>
      <c r="H37" s="65"/>
      <c r="I37" s="65"/>
      <c r="J37" s="65"/>
      <c r="K37" s="65"/>
      <c r="L37" s="66"/>
    </row>
    <row r="38" spans="1:12" ht="31.5">
      <c r="A38" s="8" t="s">
        <v>42</v>
      </c>
      <c r="B38" s="9" t="s">
        <v>31</v>
      </c>
      <c r="C38" s="13">
        <v>79.8</v>
      </c>
      <c r="D38" s="13">
        <f>$C$20-(($C$20-60)*$G$3/7)*3</f>
        <v>77.715470899470887</v>
      </c>
      <c r="G38" s="22" t="s">
        <v>49</v>
      </c>
      <c r="H38" s="24">
        <f>$C$58</f>
        <v>82.391698113207553</v>
      </c>
      <c r="I38" s="25">
        <f>D67</f>
        <v>80.472409703504056</v>
      </c>
      <c r="J38" s="25">
        <f>C67</f>
        <v>82.072373310810818</v>
      </c>
      <c r="K38" s="26">
        <f>J38-I38</f>
        <v>1.599963607306762</v>
      </c>
      <c r="L38" s="23" t="str">
        <f>IF(K38&gt;0, "Not Met","Met")</f>
        <v>Not Met</v>
      </c>
    </row>
    <row r="39" spans="1:12" ht="47.25">
      <c r="A39" s="10" t="s">
        <v>42</v>
      </c>
      <c r="B39" s="11" t="s">
        <v>32</v>
      </c>
      <c r="C39" s="13">
        <v>84.786294776119405</v>
      </c>
      <c r="D39" s="13">
        <f>$C$21-(($C$21-60)*$G$3/7)*3</f>
        <v>80.846614505494514</v>
      </c>
      <c r="G39" s="22" t="s">
        <v>50</v>
      </c>
      <c r="H39" s="24">
        <f>$C$59</f>
        <v>82.927454110898665</v>
      </c>
      <c r="I39" s="25">
        <f>D68</f>
        <v>80.962243758535919</v>
      </c>
      <c r="J39" s="25">
        <f>C68</f>
        <v>82.34811941580756</v>
      </c>
      <c r="K39" s="26">
        <f t="shared" ref="K39" si="8">J39-I39</f>
        <v>1.3858756572716402</v>
      </c>
      <c r="L39" s="23" t="str">
        <f>IF(K39&gt;0, "Not Met","Met")</f>
        <v>Not Met</v>
      </c>
    </row>
    <row r="40" spans="1:12" ht="15">
      <c r="A40" s="7" t="s">
        <v>0</v>
      </c>
      <c r="B40" s="7" t="s">
        <v>22</v>
      </c>
      <c r="C40" s="7" t="s">
        <v>23</v>
      </c>
      <c r="D40" s="13"/>
      <c r="G40" s="14"/>
    </row>
    <row r="41" spans="1:12">
      <c r="A41" s="8" t="s">
        <v>25</v>
      </c>
      <c r="B41" s="9" t="s">
        <v>44</v>
      </c>
      <c r="C41" s="12">
        <v>81.952997014925373</v>
      </c>
      <c r="D41" s="13">
        <f t="shared" ref="D41:D44" si="9">C41</f>
        <v>81.952997014925373</v>
      </c>
      <c r="F41" s="5" t="s">
        <v>27</v>
      </c>
    </row>
    <row r="42" spans="1:12">
      <c r="A42" s="8" t="s">
        <v>25</v>
      </c>
      <c r="B42" s="9" t="s">
        <v>45</v>
      </c>
      <c r="C42" s="12">
        <v>82.496130372492829</v>
      </c>
      <c r="D42" s="13">
        <f t="shared" si="9"/>
        <v>82.496130372492829</v>
      </c>
      <c r="F42" s="5" t="s">
        <v>27</v>
      </c>
    </row>
    <row r="43" spans="1:12">
      <c r="A43" s="8" t="s">
        <v>25</v>
      </c>
      <c r="B43" s="9" t="s">
        <v>46</v>
      </c>
      <c r="C43" s="12">
        <v>83.416964285714286</v>
      </c>
      <c r="D43" s="13">
        <f t="shared" si="9"/>
        <v>83.416964285714286</v>
      </c>
      <c r="F43" s="5" t="s">
        <v>27</v>
      </c>
    </row>
    <row r="44" spans="1:12">
      <c r="A44" s="8" t="s">
        <v>25</v>
      </c>
      <c r="B44" s="9" t="s">
        <v>47</v>
      </c>
      <c r="C44" s="12">
        <v>93.294520547945211</v>
      </c>
      <c r="D44" s="13">
        <f t="shared" si="9"/>
        <v>93.294520547945211</v>
      </c>
      <c r="F44" s="5" t="s">
        <v>27</v>
      </c>
    </row>
    <row r="45" spans="1:12">
      <c r="A45" s="8" t="s">
        <v>33</v>
      </c>
      <c r="B45" s="9" t="s">
        <v>44</v>
      </c>
      <c r="C45" s="12">
        <v>81.69626829268293</v>
      </c>
      <c r="D45" s="13">
        <f>$C$41-(($C$41-60)*$G$3/7)*1</f>
        <v>81.32576852878465</v>
      </c>
    </row>
    <row r="46" spans="1:12">
      <c r="A46" s="8" t="s">
        <v>33</v>
      </c>
      <c r="B46" s="9" t="s">
        <v>45</v>
      </c>
      <c r="C46" s="12">
        <v>84.294767575322808</v>
      </c>
      <c r="D46" s="13">
        <f>$C$42-(($C$42-60)*$G$3/7)*1</f>
        <v>81.853383790421603</v>
      </c>
    </row>
    <row r="47" spans="1:12">
      <c r="A47" s="8" t="s">
        <v>33</v>
      </c>
      <c r="B47" s="9" t="s">
        <v>46</v>
      </c>
      <c r="C47" s="12">
        <v>86</v>
      </c>
      <c r="D47" s="13">
        <f>$C$43-(($C$43-60)*$G$3/7)*1</f>
        <v>82.747908163265308</v>
      </c>
    </row>
    <row r="48" spans="1:12">
      <c r="A48" s="8" t="s">
        <v>33</v>
      </c>
      <c r="B48" s="9" t="s">
        <v>47</v>
      </c>
      <c r="C48" s="12">
        <v>89.307673076923066</v>
      </c>
      <c r="D48" s="13">
        <f>$C$44-(($C$44-60)*$G$3/7)*1</f>
        <v>92.343248532289635</v>
      </c>
    </row>
    <row r="49" spans="1:6">
      <c r="A49" s="8" t="s">
        <v>40</v>
      </c>
      <c r="B49" s="9" t="s">
        <v>44</v>
      </c>
      <c r="C49" s="12">
        <v>82.552482090997103</v>
      </c>
      <c r="D49" s="13">
        <f>$C$41-(($C$41-60)*$G$3/7)*2</f>
        <v>80.698540042643927</v>
      </c>
    </row>
    <row r="50" spans="1:6">
      <c r="A50" s="8" t="s">
        <v>40</v>
      </c>
      <c r="B50" s="9" t="s">
        <v>45</v>
      </c>
      <c r="C50" s="12">
        <v>84.374756258234527</v>
      </c>
      <c r="D50" s="13">
        <f>$C$42-(($C$42-60)*$G$3/7)*2</f>
        <v>81.210637208350377</v>
      </c>
    </row>
    <row r="51" spans="1:6">
      <c r="A51" s="8" t="s">
        <v>40</v>
      </c>
      <c r="B51" s="9" t="s">
        <v>46</v>
      </c>
      <c r="C51" s="12">
        <v>91.41379310344827</v>
      </c>
      <c r="D51" s="13">
        <f>$C$43-(($C$43-60)*$G$3/7)*2</f>
        <v>82.078852040816329</v>
      </c>
    </row>
    <row r="52" spans="1:6">
      <c r="A52" s="8" t="s">
        <v>40</v>
      </c>
      <c r="B52" s="9" t="s">
        <v>47</v>
      </c>
      <c r="C52" s="12">
        <v>84.27117647058823</v>
      </c>
      <c r="D52" s="13">
        <f>$C$44-(($C$44-60)*$G$3/7)*2</f>
        <v>91.39197651663406</v>
      </c>
    </row>
    <row r="53" spans="1:6">
      <c r="A53" s="8" t="s">
        <v>42</v>
      </c>
      <c r="B53" s="9" t="s">
        <v>44</v>
      </c>
      <c r="C53" s="12">
        <v>80.867437262357413</v>
      </c>
      <c r="D53" s="13">
        <f>$C$41-(($C$41-60)*$G$3/7)*3</f>
        <v>80.071311556503204</v>
      </c>
    </row>
    <row r="54" spans="1:6">
      <c r="A54" s="8" t="s">
        <v>42</v>
      </c>
      <c r="B54" s="9" t="s">
        <v>45</v>
      </c>
      <c r="C54" s="12">
        <v>82.815647632311979</v>
      </c>
      <c r="D54" s="13">
        <f>$C$42-(($C$42-60)*$G$3/7)*3</f>
        <v>80.567890626279151</v>
      </c>
    </row>
    <row r="55" spans="1:6">
      <c r="A55" s="8" t="s">
        <v>42</v>
      </c>
      <c r="B55" s="9" t="s">
        <v>46</v>
      </c>
      <c r="C55" s="12">
        <v>84.914893617021278</v>
      </c>
      <c r="D55" s="13">
        <f>$C$43-(($C$43-60)*$G$3/7)*3</f>
        <v>81.409795918367351</v>
      </c>
    </row>
    <row r="56" spans="1:6">
      <c r="A56" s="10" t="s">
        <v>42</v>
      </c>
      <c r="B56" s="11" t="s">
        <v>47</v>
      </c>
      <c r="C56" s="4">
        <v>92.177144927536233</v>
      </c>
      <c r="D56" s="13">
        <f>$C$44-(($C$44-60)*$G$3/7)*3</f>
        <v>90.440704500978484</v>
      </c>
    </row>
    <row r="57" spans="1:6" ht="15">
      <c r="A57" s="7" t="s">
        <v>0</v>
      </c>
      <c r="B57" s="7" t="s">
        <v>22</v>
      </c>
      <c r="C57" s="7" t="s">
        <v>23</v>
      </c>
      <c r="D57" s="13"/>
    </row>
    <row r="58" spans="1:6">
      <c r="A58" s="8" t="s">
        <v>25</v>
      </c>
      <c r="B58" s="9" t="s">
        <v>49</v>
      </c>
      <c r="C58" s="12">
        <v>82.391698113207553</v>
      </c>
      <c r="D58" s="13">
        <f t="shared" ref="D58:D60" si="10">C58</f>
        <v>82.391698113207553</v>
      </c>
      <c r="F58" s="5" t="s">
        <v>27</v>
      </c>
    </row>
    <row r="59" spans="1:6">
      <c r="A59" s="8" t="s">
        <v>25</v>
      </c>
      <c r="B59" s="9" t="s">
        <v>50</v>
      </c>
      <c r="C59" s="12">
        <v>82.927454110898665</v>
      </c>
      <c r="D59" s="13">
        <f t="shared" si="10"/>
        <v>82.927454110898665</v>
      </c>
      <c r="F59" s="5" t="s">
        <v>27</v>
      </c>
    </row>
    <row r="60" spans="1:6">
      <c r="A60" s="8" t="s">
        <v>25</v>
      </c>
      <c r="B60" s="9" t="s">
        <v>47</v>
      </c>
      <c r="C60" s="12">
        <v>81.540975409836065</v>
      </c>
      <c r="D60" s="13">
        <f t="shared" si="10"/>
        <v>81.540975409836065</v>
      </c>
      <c r="F60" s="5" t="s">
        <v>27</v>
      </c>
    </row>
    <row r="61" spans="1:6">
      <c r="A61" s="8" t="s">
        <v>33</v>
      </c>
      <c r="B61" s="9" t="s">
        <v>49</v>
      </c>
      <c r="C61" s="12">
        <v>82.358327586206897</v>
      </c>
      <c r="D61" s="13">
        <f>$C$58-(($C$58-60)*$G$3/7)*1</f>
        <v>81.751935309973049</v>
      </c>
    </row>
    <row r="62" spans="1:6">
      <c r="A62" s="8" t="s">
        <v>33</v>
      </c>
      <c r="B62" s="9" t="s">
        <v>50</v>
      </c>
      <c r="C62" s="12">
        <v>83.359878301886795</v>
      </c>
      <c r="D62" s="13">
        <f>$C$59-(($C$59-60)*$G$3/7)*1</f>
        <v>82.272383993444421</v>
      </c>
    </row>
    <row r="63" spans="1:6">
      <c r="A63" s="8" t="s">
        <v>33</v>
      </c>
      <c r="B63" s="9" t="s">
        <v>47</v>
      </c>
      <c r="C63" s="12">
        <v>82.957848214285718</v>
      </c>
      <c r="D63" s="13">
        <f>$C$60-(($C$60-60)*$G$3/7)*1</f>
        <v>80.925518969555029</v>
      </c>
    </row>
    <row r="64" spans="1:6">
      <c r="A64" s="8" t="s">
        <v>40</v>
      </c>
      <c r="B64" s="9" t="s">
        <v>49</v>
      </c>
      <c r="C64" s="12">
        <v>82.893734797297299</v>
      </c>
      <c r="D64" s="13">
        <f>$C$58-(($C$58-60)*$G$3/7)*2</f>
        <v>81.112172506738546</v>
      </c>
    </row>
    <row r="65" spans="1:4">
      <c r="A65" s="8" t="s">
        <v>40</v>
      </c>
      <c r="B65" s="9" t="s">
        <v>50</v>
      </c>
      <c r="C65" s="12">
        <v>83.728051618547681</v>
      </c>
      <c r="D65" s="13">
        <f>$C$59-(($C$59-60)*$G$3/7)*2</f>
        <v>81.617313875990163</v>
      </c>
    </row>
    <row r="66" spans="1:4">
      <c r="A66" s="8" t="s">
        <v>40</v>
      </c>
      <c r="B66" s="9" t="s">
        <v>47</v>
      </c>
      <c r="C66" s="12">
        <v>83.881240875912411</v>
      </c>
      <c r="D66" s="13">
        <f>$C$60-(($C$60-60)*$G$3/7)*2</f>
        <v>80.310062529274006</v>
      </c>
    </row>
    <row r="67" spans="1:4">
      <c r="A67" s="8" t="s">
        <v>42</v>
      </c>
      <c r="B67" s="9" t="s">
        <v>49</v>
      </c>
      <c r="C67" s="12">
        <v>82.072373310810818</v>
      </c>
      <c r="D67" s="13">
        <f>$C$58-(($C$58-60)*$G$3/7)*3</f>
        <v>80.472409703504056</v>
      </c>
    </row>
    <row r="68" spans="1:4">
      <c r="A68" s="8" t="s">
        <v>42</v>
      </c>
      <c r="B68" s="9" t="s">
        <v>50</v>
      </c>
      <c r="C68" s="12">
        <v>82.34811941580756</v>
      </c>
      <c r="D68" s="13">
        <f>$C$59-(($C$59-60)*$G$3/7)*3</f>
        <v>80.962243758535919</v>
      </c>
    </row>
    <row r="69" spans="1:4">
      <c r="A69" s="10" t="s">
        <v>42</v>
      </c>
      <c r="B69" s="11" t="s">
        <v>47</v>
      </c>
      <c r="C69" s="4">
        <v>80.348815384615378</v>
      </c>
      <c r="D69" s="13">
        <f>$C$60-(($C$60-60)*$G$3/7)*3</f>
        <v>79.69460608899297</v>
      </c>
    </row>
  </sheetData>
  <mergeCells count="7">
    <mergeCell ref="G37:L37"/>
    <mergeCell ref="A12:G12"/>
    <mergeCell ref="B13:F13"/>
    <mergeCell ref="B14:F14"/>
    <mergeCell ref="I21:Q22"/>
    <mergeCell ref="G27:L27"/>
    <mergeCell ref="G33:L33"/>
  </mergeCells>
  <conditionalFormatting sqref="L26 L28:L32">
    <cfRule type="beginsWith" dxfId="21" priority="5" operator="beginsWith" text="Met">
      <formula>LEFT(L26,LEN("Met"))="Met"</formula>
    </cfRule>
    <cfRule type="beginsWith" dxfId="20" priority="6" operator="beginsWith" text="Not Met">
      <formula>LEFT(L26,LEN("Not Met"))="Not Met"</formula>
    </cfRule>
  </conditionalFormatting>
  <conditionalFormatting sqref="L34:L36">
    <cfRule type="beginsWith" dxfId="19" priority="3" operator="beginsWith" text="Met">
      <formula>LEFT(L34,LEN("Met"))="Met"</formula>
    </cfRule>
    <cfRule type="beginsWith" dxfId="18" priority="4" operator="beginsWith" text="Not Met">
      <formula>LEFT(L34,LEN("Not Met"))="Not Met"</formula>
    </cfRule>
  </conditionalFormatting>
  <conditionalFormatting sqref="L38:L39">
    <cfRule type="beginsWith" dxfId="17" priority="1" operator="beginsWith" text="Met">
      <formula>LEFT(L38,LEN("Met"))="Met"</formula>
    </cfRule>
    <cfRule type="beginsWith" dxfId="16" priority="2" operator="beginsWith" text="Not Met">
      <formula>LEFT(L38,LEN("Not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BD25-36A4-4DDB-B19D-AAA9C1D22D94}">
  <dimension ref="A1:Q69"/>
  <sheetViews>
    <sheetView workbookViewId="0">
      <selection activeCell="H19" sqref="H19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5346</v>
      </c>
      <c r="C2" s="1">
        <f>$G$2</f>
        <v>5346</v>
      </c>
      <c r="D2" s="3" t="s">
        <v>7</v>
      </c>
      <c r="F2" t="s">
        <v>8</v>
      </c>
      <c r="G2" s="1">
        <f>B2</f>
        <v>5346</v>
      </c>
    </row>
    <row r="3" spans="1:7">
      <c r="A3" t="s">
        <v>9</v>
      </c>
      <c r="B3" s="28">
        <v>5561</v>
      </c>
      <c r="C3" s="1">
        <f t="shared" ref="C3:C9" si="0">$G$2*(1+$G$3*(ROW()-ROW($C$2))/$G$4)</f>
        <v>5575.1142857142859</v>
      </c>
      <c r="D3" s="18">
        <f t="shared" ref="D3:D9" si="1">B3-C3</f>
        <v>-14.11428571428587</v>
      </c>
      <c r="F3" t="s">
        <v>10</v>
      </c>
      <c r="G3" s="15">
        <v>0.3</v>
      </c>
    </row>
    <row r="4" spans="1:7">
      <c r="A4" t="s">
        <v>11</v>
      </c>
      <c r="B4" s="28">
        <v>5744</v>
      </c>
      <c r="C4" s="1">
        <f t="shared" si="0"/>
        <v>5804.2285714285708</v>
      </c>
      <c r="D4" s="18">
        <f t="shared" si="1"/>
        <v>-60.228571428570831</v>
      </c>
      <c r="F4" t="s">
        <v>12</v>
      </c>
      <c r="G4">
        <v>7</v>
      </c>
    </row>
    <row r="5" spans="1:7">
      <c r="A5" t="s">
        <v>13</v>
      </c>
      <c r="B5" s="28">
        <v>5774</v>
      </c>
      <c r="C5" s="1">
        <f t="shared" si="0"/>
        <v>6033.3428571428567</v>
      </c>
      <c r="D5" s="18">
        <f t="shared" si="1"/>
        <v>-259.3428571428567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29">
        <f t="shared" si="0"/>
        <v>6262.4571428571435</v>
      </c>
      <c r="D6" s="18">
        <f t="shared" si="1"/>
        <v>-6262.4571428571435</v>
      </c>
      <c r="F6" t="s">
        <v>10</v>
      </c>
      <c r="G6" s="17">
        <f>($G$2*G3)+G2</f>
        <v>6949.8</v>
      </c>
    </row>
    <row r="7" spans="1:7">
      <c r="A7" t="s">
        <v>16</v>
      </c>
      <c r="B7" s="1"/>
      <c r="C7" s="1">
        <f t="shared" si="0"/>
        <v>6491.5714285714284</v>
      </c>
      <c r="D7" s="18">
        <f t="shared" si="1"/>
        <v>-6491.5714285714284</v>
      </c>
    </row>
    <row r="8" spans="1:7">
      <c r="A8" t="s">
        <v>17</v>
      </c>
      <c r="B8" s="1"/>
      <c r="C8" s="1">
        <f t="shared" si="0"/>
        <v>6720.6857142857143</v>
      </c>
      <c r="D8" s="18">
        <f t="shared" si="1"/>
        <v>-6720.6857142857143</v>
      </c>
      <c r="F8" t="s">
        <v>18</v>
      </c>
    </row>
    <row r="9" spans="1:7">
      <c r="A9" t="s">
        <v>19</v>
      </c>
      <c r="B9" s="1"/>
      <c r="C9" s="1">
        <f t="shared" si="0"/>
        <v>6949.8</v>
      </c>
      <c r="D9" s="18">
        <f t="shared" si="1"/>
        <v>-6949.8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22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26</v>
      </c>
      <c r="C16" s="13">
        <v>1029</v>
      </c>
      <c r="D16" s="13">
        <f t="shared" ref="D16:D21" si="2">C16</f>
        <v>1029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28</v>
      </c>
      <c r="C17" s="13">
        <v>104</v>
      </c>
      <c r="D17" s="13">
        <f t="shared" si="2"/>
        <v>104</v>
      </c>
      <c r="E17" s="5"/>
      <c r="F17" s="5" t="s">
        <v>27</v>
      </c>
    </row>
    <row r="18" spans="1:17">
      <c r="A18" s="8" t="s">
        <v>25</v>
      </c>
      <c r="B18" s="9" t="s">
        <v>29</v>
      </c>
      <c r="C18" s="13">
        <v>2779</v>
      </c>
      <c r="D18" s="13">
        <f t="shared" si="2"/>
        <v>2779</v>
      </c>
      <c r="F18" s="5" t="s">
        <v>27</v>
      </c>
    </row>
    <row r="19" spans="1:17">
      <c r="A19" s="8" t="s">
        <v>25</v>
      </c>
      <c r="B19" s="9" t="s">
        <v>30</v>
      </c>
      <c r="C19" s="13">
        <v>530</v>
      </c>
      <c r="D19" s="13">
        <f t="shared" si="2"/>
        <v>530</v>
      </c>
      <c r="F19" s="5" t="s">
        <v>27</v>
      </c>
    </row>
    <row r="20" spans="1:17">
      <c r="A20" s="8" t="s">
        <v>25</v>
      </c>
      <c r="B20" s="9" t="s">
        <v>31</v>
      </c>
      <c r="C20" s="13">
        <v>59</v>
      </c>
      <c r="D20" s="13">
        <f t="shared" si="2"/>
        <v>59</v>
      </c>
      <c r="F20" s="5" t="s">
        <v>27</v>
      </c>
    </row>
    <row r="21" spans="1:17">
      <c r="A21" s="8" t="s">
        <v>25</v>
      </c>
      <c r="B21" s="9" t="s">
        <v>32</v>
      </c>
      <c r="C21" s="13">
        <v>753</v>
      </c>
      <c r="D21" s="13">
        <f t="shared" si="2"/>
        <v>753</v>
      </c>
      <c r="F21" s="5" t="s">
        <v>27</v>
      </c>
      <c r="I21" s="68"/>
      <c r="J21" s="70"/>
      <c r="K21" s="70"/>
      <c r="L21" s="70"/>
      <c r="M21" s="70"/>
      <c r="N21" s="70"/>
      <c r="O21" s="70"/>
      <c r="P21" s="70"/>
      <c r="Q21" s="70"/>
    </row>
    <row r="22" spans="1:17">
      <c r="A22" s="8" t="s">
        <v>33</v>
      </c>
      <c r="B22" s="9" t="s">
        <v>26</v>
      </c>
      <c r="C22" s="13">
        <v>1062</v>
      </c>
      <c r="D22" s="13">
        <f>$C$16*(1+($G$3/7)*1)</f>
        <v>1073.1000000000001</v>
      </c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8" t="s">
        <v>33</v>
      </c>
      <c r="B23" s="9" t="s">
        <v>28</v>
      </c>
      <c r="C23" s="13">
        <v>119</v>
      </c>
      <c r="D23" s="13">
        <f>$C$17*(1+($G$3/7)*1)</f>
        <v>108.45714285714287</v>
      </c>
    </row>
    <row r="24" spans="1:17" ht="15">
      <c r="A24" s="8" t="s">
        <v>33</v>
      </c>
      <c r="B24" s="9" t="s">
        <v>29</v>
      </c>
      <c r="C24" s="13">
        <v>2946</v>
      </c>
      <c r="D24" s="13">
        <f>$C$18*(1+($G$3/7)*1)</f>
        <v>2898.1000000000004</v>
      </c>
      <c r="G24" s="7" t="s">
        <v>34</v>
      </c>
    </row>
    <row r="25" spans="1:17">
      <c r="A25" s="8" t="s">
        <v>33</v>
      </c>
      <c r="B25" s="9" t="s">
        <v>30</v>
      </c>
      <c r="C25" s="13">
        <v>603</v>
      </c>
      <c r="D25" s="13">
        <f>$C$19*(1+($G$3/7)*1)</f>
        <v>552.71428571428578</v>
      </c>
    </row>
    <row r="26" spans="1:17" ht="31.5">
      <c r="A26" s="8" t="s">
        <v>33</v>
      </c>
      <c r="B26" s="9" t="s">
        <v>31</v>
      </c>
      <c r="C26" s="13">
        <v>52</v>
      </c>
      <c r="D26" s="13">
        <f>$C$20*(1+($G$3/7)*1)</f>
        <v>61.528571428571432</v>
      </c>
      <c r="G26" s="19" t="s">
        <v>22</v>
      </c>
      <c r="H26" s="20" t="s">
        <v>35</v>
      </c>
      <c r="I26" s="21" t="s">
        <v>36</v>
      </c>
      <c r="J26" s="21" t="s">
        <v>37</v>
      </c>
      <c r="K26" s="21" t="s">
        <v>3</v>
      </c>
      <c r="L26" s="20" t="s">
        <v>38</v>
      </c>
    </row>
    <row r="27" spans="1:17" ht="15.75">
      <c r="A27" s="8" t="s">
        <v>33</v>
      </c>
      <c r="B27" s="9" t="s">
        <v>32</v>
      </c>
      <c r="C27" s="13">
        <v>725</v>
      </c>
      <c r="D27" s="13">
        <f>$C$21*(1+($G$3/7)*1)</f>
        <v>785.2714285714286</v>
      </c>
      <c r="G27" s="64" t="s">
        <v>39</v>
      </c>
      <c r="H27" s="65"/>
      <c r="I27" s="65"/>
      <c r="J27" s="65"/>
      <c r="K27" s="65"/>
      <c r="L27" s="66"/>
    </row>
    <row r="28" spans="1:17" ht="15.75">
      <c r="A28" s="8" t="s">
        <v>40</v>
      </c>
      <c r="B28" s="9" t="s">
        <v>26</v>
      </c>
      <c r="C28" s="13">
        <v>1027</v>
      </c>
      <c r="D28" s="13">
        <f>$C$16*(1+($G$3/7)*2)</f>
        <v>1117.1999999999998</v>
      </c>
      <c r="G28" s="22" t="s">
        <v>26</v>
      </c>
      <c r="H28" s="24">
        <f>$C$16</f>
        <v>1029</v>
      </c>
      <c r="I28" s="25">
        <f t="shared" ref="I28:I33" si="3">D34</f>
        <v>1161.3</v>
      </c>
      <c r="J28" s="25">
        <f t="shared" ref="J28:J33" si="4">C34</f>
        <v>953</v>
      </c>
      <c r="K28" s="26">
        <f t="shared" ref="K28:K33" si="5">J28-I28</f>
        <v>-208.29999999999995</v>
      </c>
      <c r="L28" s="23" t="str">
        <f t="shared" ref="L28:L33" si="6">IF(K28&lt;0, "Not Met","Met")</f>
        <v>Not Met</v>
      </c>
    </row>
    <row r="29" spans="1:17" ht="31.5">
      <c r="A29" s="8" t="s">
        <v>40</v>
      </c>
      <c r="B29" s="9" t="s">
        <v>28</v>
      </c>
      <c r="C29" s="13">
        <v>102</v>
      </c>
      <c r="D29" s="13">
        <f>$C$17*(1+($G$3/7)*2)</f>
        <v>112.91428571428571</v>
      </c>
      <c r="G29" s="22" t="s">
        <v>41</v>
      </c>
      <c r="H29" s="24">
        <f>$C$17</f>
        <v>104</v>
      </c>
      <c r="I29" s="25">
        <f t="shared" si="3"/>
        <v>117.37142857142857</v>
      </c>
      <c r="J29" s="25">
        <f t="shared" si="4"/>
        <v>113</v>
      </c>
      <c r="K29" s="26">
        <f t="shared" si="5"/>
        <v>-4.3714285714285666</v>
      </c>
      <c r="L29" s="23" t="str">
        <f t="shared" si="6"/>
        <v>Not Met</v>
      </c>
    </row>
    <row r="30" spans="1:17" ht="15.75">
      <c r="A30" s="8" t="s">
        <v>40</v>
      </c>
      <c r="B30" s="9" t="s">
        <v>29</v>
      </c>
      <c r="C30" s="13">
        <v>3057</v>
      </c>
      <c r="D30" s="13">
        <f>$C$18*(1+($G$3/7)*2)</f>
        <v>3017.2</v>
      </c>
      <c r="G30" s="22" t="s">
        <v>29</v>
      </c>
      <c r="H30" s="24">
        <f>$C$18</f>
        <v>2779</v>
      </c>
      <c r="I30" s="25">
        <f t="shared" si="3"/>
        <v>3136.3</v>
      </c>
      <c r="J30" s="25">
        <f t="shared" si="4"/>
        <v>3127</v>
      </c>
      <c r="K30" s="26">
        <f t="shared" si="5"/>
        <v>-9.3000000000001819</v>
      </c>
      <c r="L30" s="23" t="str">
        <f t="shared" si="6"/>
        <v>Not Met</v>
      </c>
    </row>
    <row r="31" spans="1:17" ht="15.75">
      <c r="A31" s="8" t="s">
        <v>40</v>
      </c>
      <c r="B31" s="9" t="s">
        <v>30</v>
      </c>
      <c r="C31" s="13">
        <v>736</v>
      </c>
      <c r="D31" s="13">
        <f>$C$19*(1+($G$3/7)*2)</f>
        <v>575.42857142857133</v>
      </c>
      <c r="G31" s="22" t="s">
        <v>30</v>
      </c>
      <c r="H31" s="24">
        <f>$C$19</f>
        <v>530</v>
      </c>
      <c r="I31" s="25">
        <f t="shared" si="3"/>
        <v>598.14285714285711</v>
      </c>
      <c r="J31" s="25">
        <f t="shared" si="4"/>
        <v>775</v>
      </c>
      <c r="K31" s="26">
        <f t="shared" si="5"/>
        <v>176.85714285714289</v>
      </c>
      <c r="L31" s="23" t="str">
        <f t="shared" si="6"/>
        <v>Met</v>
      </c>
    </row>
    <row r="32" spans="1:17" ht="31.5">
      <c r="A32" s="8" t="s">
        <v>40</v>
      </c>
      <c r="B32" s="9" t="s">
        <v>31</v>
      </c>
      <c r="C32" s="13">
        <v>60</v>
      </c>
      <c r="D32" s="13">
        <f>$C$20*(1+($G$3/7)*2)</f>
        <v>64.05714285714285</v>
      </c>
      <c r="G32" s="22" t="s">
        <v>31</v>
      </c>
      <c r="H32" s="24">
        <f>$C$20</f>
        <v>59</v>
      </c>
      <c r="I32" s="25">
        <f t="shared" si="3"/>
        <v>66.585714285714289</v>
      </c>
      <c r="J32" s="25">
        <f t="shared" si="4"/>
        <v>63</v>
      </c>
      <c r="K32" s="26">
        <f t="shared" si="5"/>
        <v>-3.585714285714289</v>
      </c>
      <c r="L32" s="23" t="str">
        <f t="shared" si="6"/>
        <v>Not Met</v>
      </c>
    </row>
    <row r="33" spans="1:12" ht="15.75">
      <c r="A33" s="8" t="s">
        <v>40</v>
      </c>
      <c r="B33" s="9" t="s">
        <v>32</v>
      </c>
      <c r="C33" s="13">
        <v>728</v>
      </c>
      <c r="D33" s="13">
        <f>$C$21*(1+($G$3/7)*2)</f>
        <v>817.54285714285709</v>
      </c>
      <c r="G33" s="22" t="s">
        <v>32</v>
      </c>
      <c r="H33" s="24">
        <f>$C$21</f>
        <v>753</v>
      </c>
      <c r="I33" s="25">
        <f t="shared" si="3"/>
        <v>849.81428571428569</v>
      </c>
      <c r="J33" s="25">
        <f t="shared" si="4"/>
        <v>719</v>
      </c>
      <c r="K33" s="26">
        <f t="shared" si="5"/>
        <v>-130.81428571428569</v>
      </c>
      <c r="L33" s="23" t="str">
        <f t="shared" si="6"/>
        <v>Not Met</v>
      </c>
    </row>
    <row r="34" spans="1:12" ht="15.75">
      <c r="A34" s="8" t="s">
        <v>42</v>
      </c>
      <c r="B34" s="9" t="s">
        <v>26</v>
      </c>
      <c r="C34" s="13">
        <v>953</v>
      </c>
      <c r="D34" s="13">
        <f>$C$16*(1+($G$3/7)*3)</f>
        <v>1161.3</v>
      </c>
      <c r="G34" s="64" t="s">
        <v>43</v>
      </c>
      <c r="H34" s="65"/>
      <c r="I34" s="65"/>
      <c r="J34" s="65"/>
      <c r="K34" s="65"/>
      <c r="L34" s="66"/>
    </row>
    <row r="35" spans="1:12" ht="15.75">
      <c r="A35" s="8" t="s">
        <v>42</v>
      </c>
      <c r="B35" s="9" t="s">
        <v>28</v>
      </c>
      <c r="C35" s="13">
        <v>113</v>
      </c>
      <c r="D35" s="13">
        <f>$C$17*(1+($G$3/7)*3)</f>
        <v>117.37142857142857</v>
      </c>
      <c r="G35" s="22" t="s">
        <v>44</v>
      </c>
      <c r="H35" s="24">
        <f>$D$41</f>
        <v>2693</v>
      </c>
      <c r="I35" s="25">
        <f>D53</f>
        <v>3039.2428571428572</v>
      </c>
      <c r="J35" s="25">
        <f>C53</f>
        <v>2873</v>
      </c>
      <c r="K35" s="26">
        <f>J35-I35</f>
        <v>-166.24285714285725</v>
      </c>
      <c r="L35" s="23" t="str">
        <f>IF(K35&lt;0, "Not Met","Met")</f>
        <v>Not Met</v>
      </c>
    </row>
    <row r="36" spans="1:12" ht="15.75">
      <c r="A36" s="8" t="s">
        <v>42</v>
      </c>
      <c r="B36" s="9" t="s">
        <v>29</v>
      </c>
      <c r="C36" s="13">
        <v>3127</v>
      </c>
      <c r="D36" s="13">
        <f>$C$18*(1+($G$3/7)*3)</f>
        <v>3136.3</v>
      </c>
      <c r="G36" s="22" t="s">
        <v>45</v>
      </c>
      <c r="H36" s="24">
        <f>$D$42</f>
        <v>2387</v>
      </c>
      <c r="I36" s="25">
        <f>D54</f>
        <v>2693.9</v>
      </c>
      <c r="J36" s="25">
        <f>C54</f>
        <v>2570</v>
      </c>
      <c r="K36" s="26">
        <f>J36-I36</f>
        <v>-123.90000000000009</v>
      </c>
      <c r="L36" s="23" t="str">
        <f>IF(K36&lt;0, "Not Met","Met")</f>
        <v>Not Met</v>
      </c>
    </row>
    <row r="37" spans="1:12" ht="15.75">
      <c r="A37" s="8" t="s">
        <v>42</v>
      </c>
      <c r="B37" s="9" t="s">
        <v>30</v>
      </c>
      <c r="C37" s="13">
        <v>775</v>
      </c>
      <c r="D37" s="13">
        <f>$C$19*(1+($G$3/7)*3)</f>
        <v>598.14285714285711</v>
      </c>
      <c r="G37" s="22" t="s">
        <v>46</v>
      </c>
      <c r="H37" s="24">
        <f>$D$43</f>
        <v>63</v>
      </c>
      <c r="I37" s="25">
        <f>D55</f>
        <v>71.099999999999994</v>
      </c>
      <c r="J37" s="25">
        <f>C55</f>
        <v>110</v>
      </c>
      <c r="K37" s="26">
        <f>J37-I37</f>
        <v>38.900000000000006</v>
      </c>
      <c r="L37" s="23" t="str">
        <f>IF(K37&lt;0, "Not Met","Met")</f>
        <v>Met</v>
      </c>
    </row>
    <row r="38" spans="1:12" ht="15.75">
      <c r="A38" s="8" t="s">
        <v>42</v>
      </c>
      <c r="B38" s="9" t="s">
        <v>31</v>
      </c>
      <c r="C38" s="13">
        <v>63</v>
      </c>
      <c r="D38" s="13">
        <f>$C$20*(1+($G$3/7)*3)</f>
        <v>66.585714285714289</v>
      </c>
      <c r="G38" s="22" t="s">
        <v>47</v>
      </c>
      <c r="H38" s="24">
        <f>$D$44</f>
        <v>203</v>
      </c>
      <c r="I38" s="25">
        <f>D56</f>
        <v>229.1</v>
      </c>
      <c r="J38" s="25">
        <f>C56</f>
        <v>221</v>
      </c>
      <c r="K38" s="26">
        <f>J38-I38</f>
        <v>-8.0999999999999943</v>
      </c>
      <c r="L38" s="23" t="str">
        <f>IF(K38&lt;0, "Not Met","Met")</f>
        <v>Not Met</v>
      </c>
    </row>
    <row r="39" spans="1:12" ht="15.75">
      <c r="A39" s="10" t="s">
        <v>42</v>
      </c>
      <c r="B39" s="11" t="s">
        <v>32</v>
      </c>
      <c r="C39" s="13">
        <v>719</v>
      </c>
      <c r="D39" s="13">
        <f>$C$21*(1+($G$3/7)*3)</f>
        <v>849.81428571428569</v>
      </c>
      <c r="G39" s="64" t="s">
        <v>48</v>
      </c>
      <c r="H39" s="65"/>
      <c r="I39" s="65"/>
      <c r="J39" s="65"/>
      <c r="K39" s="65"/>
      <c r="L39" s="66"/>
    </row>
    <row r="40" spans="1:12" ht="31.5">
      <c r="A40" s="7" t="s">
        <v>0</v>
      </c>
      <c r="B40" s="7" t="s">
        <v>22</v>
      </c>
      <c r="C40" s="7" t="s">
        <v>23</v>
      </c>
      <c r="D40" s="13"/>
      <c r="G40" s="22" t="s">
        <v>49</v>
      </c>
      <c r="H40" s="24">
        <f>$D$58</f>
        <v>1828</v>
      </c>
      <c r="I40" s="25">
        <f>D67</f>
        <v>2063.0285714285715</v>
      </c>
      <c r="J40" s="25">
        <f>C67</f>
        <v>1824</v>
      </c>
      <c r="K40" s="26">
        <f>J40-I40</f>
        <v>-239.02857142857147</v>
      </c>
      <c r="L40" s="23" t="str">
        <f>IF(K40&lt;0, "Not Met","Met")</f>
        <v>Not Met</v>
      </c>
    </row>
    <row r="41" spans="1:12" ht="47.25">
      <c r="A41" s="8" t="s">
        <v>25</v>
      </c>
      <c r="B41" s="9" t="s">
        <v>44</v>
      </c>
      <c r="C41" s="12">
        <v>2693</v>
      </c>
      <c r="D41" s="13">
        <f>C41</f>
        <v>2693</v>
      </c>
      <c r="F41" s="5" t="s">
        <v>27</v>
      </c>
      <c r="G41" s="22" t="s">
        <v>50</v>
      </c>
      <c r="H41" s="24">
        <f>$D$59</f>
        <v>3160</v>
      </c>
      <c r="I41" s="25">
        <f>D68</f>
        <v>3566.2857142857142</v>
      </c>
      <c r="J41" s="25">
        <f>C68</f>
        <v>3524</v>
      </c>
      <c r="K41" s="26">
        <f>J41-I41</f>
        <v>-42.285714285714221</v>
      </c>
      <c r="L41" s="23" t="str">
        <f>IF(K41&lt;0, "Not Met","Met")</f>
        <v>Not Met</v>
      </c>
    </row>
    <row r="42" spans="1:12" ht="15.75">
      <c r="A42" s="8" t="s">
        <v>25</v>
      </c>
      <c r="B42" s="9" t="s">
        <v>45</v>
      </c>
      <c r="C42" s="12">
        <v>2387</v>
      </c>
      <c r="D42" s="13">
        <f>C42</f>
        <v>2387</v>
      </c>
      <c r="F42" s="5" t="s">
        <v>27</v>
      </c>
      <c r="G42" s="22" t="s">
        <v>47</v>
      </c>
      <c r="H42" s="24">
        <f>$D$60</f>
        <v>358</v>
      </c>
      <c r="I42" s="25">
        <f>D69</f>
        <v>404.02857142857141</v>
      </c>
      <c r="J42" s="25">
        <f>C69</f>
        <v>426</v>
      </c>
      <c r="K42" s="26">
        <f>J42-I42</f>
        <v>21.971428571428589</v>
      </c>
      <c r="L42" s="23" t="str">
        <f>IF(K42&lt;0, "Not Met","Met")</f>
        <v>Met</v>
      </c>
    </row>
    <row r="43" spans="1:12">
      <c r="A43" s="8" t="s">
        <v>25</v>
      </c>
      <c r="B43" s="9" t="s">
        <v>46</v>
      </c>
      <c r="C43" s="12">
        <v>63</v>
      </c>
      <c r="D43" s="13">
        <f>C43</f>
        <v>63</v>
      </c>
      <c r="F43" s="5" t="s">
        <v>27</v>
      </c>
      <c r="G43" s="14" t="s">
        <v>51</v>
      </c>
    </row>
    <row r="44" spans="1:12">
      <c r="A44" s="8" t="s">
        <v>25</v>
      </c>
      <c r="B44" s="9" t="s">
        <v>47</v>
      </c>
      <c r="C44" s="12">
        <v>203</v>
      </c>
      <c r="D44" s="13">
        <f>C44</f>
        <v>203</v>
      </c>
      <c r="F44" s="5" t="s">
        <v>27</v>
      </c>
    </row>
    <row r="45" spans="1:12">
      <c r="A45" s="8" t="s">
        <v>33</v>
      </c>
      <c r="B45" s="9" t="s">
        <v>44</v>
      </c>
      <c r="C45" s="12">
        <v>2738</v>
      </c>
      <c r="D45" s="13">
        <f>$C$41*(1+($G$3/7)*1)</f>
        <v>2808.4142857142861</v>
      </c>
    </row>
    <row r="46" spans="1:12">
      <c r="A46" s="8" t="s">
        <v>33</v>
      </c>
      <c r="B46" s="9" t="s">
        <v>45</v>
      </c>
      <c r="C46" s="12">
        <v>2532</v>
      </c>
      <c r="D46" s="13">
        <f>$C$42*(1+($G$3/7)*1)</f>
        <v>2489.3000000000002</v>
      </c>
    </row>
    <row r="47" spans="1:12">
      <c r="A47" s="8" t="s">
        <v>33</v>
      </c>
      <c r="B47" s="9" t="s">
        <v>46</v>
      </c>
      <c r="C47" s="12">
        <v>90</v>
      </c>
      <c r="D47" s="13">
        <f>$C$43*(1+($G$3/7)*1)</f>
        <v>65.7</v>
      </c>
    </row>
    <row r="48" spans="1:12">
      <c r="A48" s="8" t="s">
        <v>33</v>
      </c>
      <c r="B48" s="9" t="s">
        <v>47</v>
      </c>
      <c r="C48" s="12">
        <v>201</v>
      </c>
      <c r="D48" s="13">
        <f>$C$44*(1+($G$3/7)*1)</f>
        <v>211.70000000000002</v>
      </c>
    </row>
    <row r="49" spans="1:6">
      <c r="A49" s="8" t="s">
        <v>40</v>
      </c>
      <c r="B49" s="9" t="s">
        <v>44</v>
      </c>
      <c r="C49" s="12">
        <v>2859</v>
      </c>
      <c r="D49" s="13">
        <f>$C$41*(1+($G$3/7)*2)</f>
        <v>2923.8285714285712</v>
      </c>
    </row>
    <row r="50" spans="1:6">
      <c r="A50" s="8" t="s">
        <v>40</v>
      </c>
      <c r="B50" s="9" t="s">
        <v>45</v>
      </c>
      <c r="C50" s="12">
        <v>2573</v>
      </c>
      <c r="D50" s="13">
        <f>$C$42*(1+($G$3/7)*2)</f>
        <v>2591.6</v>
      </c>
    </row>
    <row r="51" spans="1:6">
      <c r="A51" s="8" t="s">
        <v>40</v>
      </c>
      <c r="B51" s="9" t="s">
        <v>46</v>
      </c>
      <c r="C51" s="12">
        <v>103</v>
      </c>
      <c r="D51" s="13">
        <f>$C$43*(1+($G$3/7)*2)</f>
        <v>68.399999999999991</v>
      </c>
    </row>
    <row r="52" spans="1:6">
      <c r="A52" s="8" t="s">
        <v>40</v>
      </c>
      <c r="B52" s="9" t="s">
        <v>47</v>
      </c>
      <c r="C52" s="12">
        <v>209</v>
      </c>
      <c r="D52" s="13">
        <f>$C$44*(1+($G$3/7)*2)</f>
        <v>220.39999999999998</v>
      </c>
    </row>
    <row r="53" spans="1:6">
      <c r="A53" s="8" t="s">
        <v>42</v>
      </c>
      <c r="B53" s="9" t="s">
        <v>44</v>
      </c>
      <c r="C53" s="12">
        <v>2873</v>
      </c>
      <c r="D53" s="13">
        <f>$C$41*(1+($G$3/7)*3)</f>
        <v>3039.2428571428572</v>
      </c>
    </row>
    <row r="54" spans="1:6">
      <c r="A54" s="8" t="s">
        <v>42</v>
      </c>
      <c r="B54" s="9" t="s">
        <v>45</v>
      </c>
      <c r="C54" s="12">
        <v>2570</v>
      </c>
      <c r="D54" s="13">
        <f>$C$42*(1+($G$3/7)*3)</f>
        <v>2693.9</v>
      </c>
    </row>
    <row r="55" spans="1:6">
      <c r="A55" s="8" t="s">
        <v>42</v>
      </c>
      <c r="B55" s="9" t="s">
        <v>46</v>
      </c>
      <c r="C55" s="12">
        <v>110</v>
      </c>
      <c r="D55" s="13">
        <f>$C$43*(1+($G$3/7)*3)</f>
        <v>71.099999999999994</v>
      </c>
    </row>
    <row r="56" spans="1:6">
      <c r="A56" s="10" t="s">
        <v>42</v>
      </c>
      <c r="B56" s="11" t="s">
        <v>47</v>
      </c>
      <c r="C56" s="4">
        <v>221</v>
      </c>
      <c r="D56" s="13">
        <f>$C$44*(1+($G$3/7)*3)</f>
        <v>229.1</v>
      </c>
    </row>
    <row r="57" spans="1:6" ht="15">
      <c r="A57" s="7" t="s">
        <v>0</v>
      </c>
      <c r="B57" s="7" t="s">
        <v>22</v>
      </c>
      <c r="C57" s="7" t="s">
        <v>23</v>
      </c>
      <c r="D57" s="13"/>
    </row>
    <row r="58" spans="1:6">
      <c r="A58" s="8" t="s">
        <v>25</v>
      </c>
      <c r="B58" s="9" t="s">
        <v>49</v>
      </c>
      <c r="C58" s="12">
        <v>1828</v>
      </c>
      <c r="D58" s="13">
        <f>C58</f>
        <v>1828</v>
      </c>
      <c r="F58" s="5" t="s">
        <v>27</v>
      </c>
    </row>
    <row r="59" spans="1:6">
      <c r="A59" s="8" t="s">
        <v>25</v>
      </c>
      <c r="B59" s="9" t="s">
        <v>50</v>
      </c>
      <c r="C59" s="12">
        <v>3160</v>
      </c>
      <c r="D59" s="13">
        <f>C59</f>
        <v>3160</v>
      </c>
      <c r="F59" s="5" t="s">
        <v>27</v>
      </c>
    </row>
    <row r="60" spans="1:6">
      <c r="A60" s="8" t="s">
        <v>25</v>
      </c>
      <c r="B60" s="9" t="s">
        <v>47</v>
      </c>
      <c r="C60" s="12">
        <v>358</v>
      </c>
      <c r="D60" s="13">
        <f>C60</f>
        <v>358</v>
      </c>
      <c r="F60" s="5" t="s">
        <v>27</v>
      </c>
    </row>
    <row r="61" spans="1:6">
      <c r="A61" s="8" t="s">
        <v>33</v>
      </c>
      <c r="B61" s="9" t="s">
        <v>49</v>
      </c>
      <c r="C61" s="12">
        <v>1844</v>
      </c>
      <c r="D61" s="13">
        <f>$C$58*(1+($G$3/7)*1)</f>
        <v>1906.3428571428574</v>
      </c>
    </row>
    <row r="62" spans="1:6">
      <c r="A62" s="8" t="s">
        <v>33</v>
      </c>
      <c r="B62" s="9" t="s">
        <v>50</v>
      </c>
      <c r="C62" s="12">
        <v>3336</v>
      </c>
      <c r="D62" s="13">
        <f>$C$59*(1+($G$3/7)*1)</f>
        <v>3295.4285714285716</v>
      </c>
    </row>
    <row r="63" spans="1:6">
      <c r="A63" s="8" t="s">
        <v>33</v>
      </c>
      <c r="B63" s="9" t="s">
        <v>47</v>
      </c>
      <c r="C63" s="12">
        <v>381</v>
      </c>
      <c r="D63" s="13">
        <f>$C$60*(1+($G$3/7)*1)</f>
        <v>373.34285714285716</v>
      </c>
    </row>
    <row r="64" spans="1:6">
      <c r="A64" s="8" t="s">
        <v>40</v>
      </c>
      <c r="B64" s="9" t="s">
        <v>49</v>
      </c>
      <c r="C64" s="12">
        <v>1875</v>
      </c>
      <c r="D64" s="13">
        <f>$C$58*(1+($G$3/7)*2)</f>
        <v>1984.6857142857141</v>
      </c>
    </row>
    <row r="65" spans="1:4">
      <c r="A65" s="8" t="s">
        <v>40</v>
      </c>
      <c r="B65" s="9" t="s">
        <v>50</v>
      </c>
      <c r="C65" s="12">
        <v>3441</v>
      </c>
      <c r="D65" s="13">
        <f>$C$59*(1+($G$3/7)*2)</f>
        <v>3430.8571428571427</v>
      </c>
    </row>
    <row r="66" spans="1:4">
      <c r="A66" s="8" t="s">
        <v>40</v>
      </c>
      <c r="B66" s="9" t="s">
        <v>47</v>
      </c>
      <c r="C66" s="12">
        <v>428</v>
      </c>
      <c r="D66" s="13">
        <f>$C$60*(1+($G$3/7)*2)</f>
        <v>388.68571428571425</v>
      </c>
    </row>
    <row r="67" spans="1:4">
      <c r="A67" s="8" t="s">
        <v>42</v>
      </c>
      <c r="B67" s="9" t="s">
        <v>49</v>
      </c>
      <c r="C67" s="12">
        <v>1824</v>
      </c>
      <c r="D67" s="13">
        <f>$C$58*(1+($G$3/7)*3)</f>
        <v>2063.0285714285715</v>
      </c>
    </row>
    <row r="68" spans="1:4">
      <c r="A68" s="8" t="s">
        <v>42</v>
      </c>
      <c r="B68" s="9" t="s">
        <v>50</v>
      </c>
      <c r="C68" s="12">
        <v>3524</v>
      </c>
      <c r="D68" s="13">
        <f>$C$59*(1+($G$3/7)*3)</f>
        <v>3566.2857142857142</v>
      </c>
    </row>
    <row r="69" spans="1:4">
      <c r="A69" s="10" t="s">
        <v>42</v>
      </c>
      <c r="B69" s="11" t="s">
        <v>47</v>
      </c>
      <c r="C69" s="4">
        <v>426</v>
      </c>
      <c r="D69" s="13">
        <f>$C$60*(1+($G$3/7)*3)</f>
        <v>404.02857142857141</v>
      </c>
    </row>
  </sheetData>
  <mergeCells count="7">
    <mergeCell ref="G39:L39"/>
    <mergeCell ref="A12:G12"/>
    <mergeCell ref="B13:F13"/>
    <mergeCell ref="B14:F14"/>
    <mergeCell ref="I21:Q22"/>
    <mergeCell ref="G27:L27"/>
    <mergeCell ref="G34:L34"/>
  </mergeCells>
  <conditionalFormatting sqref="L26 L28:L33">
    <cfRule type="beginsWith" dxfId="15" priority="5" operator="beginsWith" text="Met">
      <formula>LEFT(L26,LEN("Met"))="Met"</formula>
    </cfRule>
    <cfRule type="beginsWith" dxfId="14" priority="6" operator="beginsWith" text="Not Met">
      <formula>LEFT(L26,LEN("Not Met"))="Not Met"</formula>
    </cfRule>
  </conditionalFormatting>
  <conditionalFormatting sqref="L35:L38">
    <cfRule type="beginsWith" dxfId="13" priority="3" operator="beginsWith" text="Met">
      <formula>LEFT(L35,LEN("Met"))="Met"</formula>
    </cfRule>
    <cfRule type="beginsWith" dxfId="12" priority="4" operator="beginsWith" text="Not Met">
      <formula>LEFT(L35,LEN("Not Met"))="Not Met"</formula>
    </cfRule>
  </conditionalFormatting>
  <conditionalFormatting sqref="L40:L42">
    <cfRule type="beginsWith" dxfId="11" priority="1" operator="beginsWith" text="Met">
      <formula>LEFT(L40,LEN("Met"))="Met"</formula>
    </cfRule>
    <cfRule type="beginsWith" dxfId="10" priority="2" operator="beginsWith" text="Not Met">
      <formula>LEFT(L40,LEN("Not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485A-32FF-4962-B37A-026057B34EFF}">
  <dimension ref="A1:Q69"/>
  <sheetViews>
    <sheetView workbookViewId="0">
      <selection activeCell="F26" sqref="F26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5" customWidth="1"/>
    <col min="7" max="7" width="14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1962</v>
      </c>
      <c r="C2" s="1">
        <f>$G$2</f>
        <v>1962</v>
      </c>
      <c r="D2" s="3" t="s">
        <v>7</v>
      </c>
      <c r="F2" t="s">
        <v>8</v>
      </c>
      <c r="G2" s="1">
        <f>B2</f>
        <v>1962</v>
      </c>
    </row>
    <row r="3" spans="1:7">
      <c r="A3" t="s">
        <v>9</v>
      </c>
      <c r="B3" s="28">
        <v>1170</v>
      </c>
      <c r="C3" s="1">
        <f t="shared" ref="C3:C9" si="0">$G$2*(1+$G$3*(ROW()-ROW($C$2))/$G$4)</f>
        <v>2046.0857142857144</v>
      </c>
      <c r="D3" s="18">
        <f t="shared" ref="D3:D9" si="1">B3-C3</f>
        <v>-876.0857142857144</v>
      </c>
      <c r="F3" t="s">
        <v>10</v>
      </c>
      <c r="G3" s="15">
        <v>0.3</v>
      </c>
    </row>
    <row r="4" spans="1:7">
      <c r="A4" t="s">
        <v>11</v>
      </c>
      <c r="B4" s="28">
        <v>1548</v>
      </c>
      <c r="C4" s="1">
        <f t="shared" si="0"/>
        <v>2130.1714285714284</v>
      </c>
      <c r="D4" s="18">
        <f t="shared" si="1"/>
        <v>-582.17142857142835</v>
      </c>
      <c r="F4" t="s">
        <v>12</v>
      </c>
      <c r="G4">
        <v>7</v>
      </c>
    </row>
    <row r="5" spans="1:7">
      <c r="A5" t="s">
        <v>13</v>
      </c>
      <c r="B5" s="28"/>
      <c r="C5" s="29">
        <f t="shared" si="0"/>
        <v>2214.2571428571428</v>
      </c>
      <c r="D5" s="18">
        <f t="shared" si="1"/>
        <v>-2214.2571428571428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1">
        <f t="shared" si="0"/>
        <v>2298.3428571428572</v>
      </c>
      <c r="D6" s="18">
        <f t="shared" si="1"/>
        <v>-2298.3428571428572</v>
      </c>
      <c r="F6" t="s">
        <v>10</v>
      </c>
      <c r="G6" s="17">
        <f>($G$2*G3)+G2</f>
        <v>2550.6</v>
      </c>
    </row>
    <row r="7" spans="1:7">
      <c r="A7" t="s">
        <v>16</v>
      </c>
      <c r="B7" s="1"/>
      <c r="C7" s="1">
        <f t="shared" si="0"/>
        <v>2382.4285714285711</v>
      </c>
      <c r="D7" s="18">
        <f t="shared" si="1"/>
        <v>-2382.4285714285711</v>
      </c>
    </row>
    <row r="8" spans="1:7">
      <c r="A8" t="s">
        <v>17</v>
      </c>
      <c r="B8" s="1"/>
      <c r="C8" s="1">
        <f t="shared" si="0"/>
        <v>2466.5142857142855</v>
      </c>
      <c r="D8" s="18">
        <f t="shared" si="1"/>
        <v>-2466.5142857142855</v>
      </c>
      <c r="F8" t="s">
        <v>18</v>
      </c>
    </row>
    <row r="9" spans="1:7">
      <c r="A9" t="s">
        <v>19</v>
      </c>
      <c r="B9" s="1"/>
      <c r="C9" s="1">
        <f t="shared" si="0"/>
        <v>2550.6</v>
      </c>
      <c r="D9" s="18">
        <f t="shared" si="1"/>
        <v>-2550.6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22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26</v>
      </c>
      <c r="C16" s="13">
        <v>431</v>
      </c>
      <c r="D16" s="13">
        <f t="shared" ref="D16:D21" si="2">C16</f>
        <v>431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28</v>
      </c>
      <c r="C17" s="13">
        <v>63</v>
      </c>
      <c r="D17" s="13">
        <f t="shared" si="2"/>
        <v>63</v>
      </c>
      <c r="E17" s="5"/>
      <c r="F17" s="5" t="s">
        <v>27</v>
      </c>
    </row>
    <row r="18" spans="1:17">
      <c r="A18" s="8" t="s">
        <v>25</v>
      </c>
      <c r="B18" s="9" t="s">
        <v>29</v>
      </c>
      <c r="C18" s="13">
        <v>899</v>
      </c>
      <c r="D18" s="13">
        <f t="shared" si="2"/>
        <v>899</v>
      </c>
      <c r="F18" s="5" t="s">
        <v>27</v>
      </c>
    </row>
    <row r="19" spans="1:17">
      <c r="A19" s="8" t="s">
        <v>25</v>
      </c>
      <c r="B19" s="9" t="s">
        <v>30</v>
      </c>
      <c r="C19" s="13">
        <v>170</v>
      </c>
      <c r="D19" s="13">
        <f t="shared" si="2"/>
        <v>170</v>
      </c>
      <c r="F19" s="5" t="s">
        <v>27</v>
      </c>
    </row>
    <row r="20" spans="1:17">
      <c r="A20" s="8" t="s">
        <v>25</v>
      </c>
      <c r="B20" s="9" t="s">
        <v>31</v>
      </c>
      <c r="C20" s="13">
        <v>13</v>
      </c>
      <c r="D20" s="13">
        <f t="shared" si="2"/>
        <v>13</v>
      </c>
      <c r="F20" s="5" t="s">
        <v>27</v>
      </c>
    </row>
    <row r="21" spans="1:17">
      <c r="A21" s="8" t="s">
        <v>25</v>
      </c>
      <c r="B21" s="9" t="s">
        <v>32</v>
      </c>
      <c r="C21" s="13">
        <v>331</v>
      </c>
      <c r="D21" s="13">
        <f t="shared" si="2"/>
        <v>331</v>
      </c>
      <c r="F21" s="5" t="s">
        <v>27</v>
      </c>
      <c r="I21" s="68"/>
      <c r="J21" s="70"/>
      <c r="K21" s="70"/>
      <c r="L21" s="70"/>
      <c r="M21" s="70"/>
      <c r="N21" s="70"/>
      <c r="O21" s="70"/>
      <c r="P21" s="70"/>
      <c r="Q21" s="70"/>
    </row>
    <row r="22" spans="1:17">
      <c r="A22" s="8" t="s">
        <v>33</v>
      </c>
      <c r="B22" s="9" t="s">
        <v>26</v>
      </c>
      <c r="C22" s="13">
        <v>241</v>
      </c>
      <c r="D22" s="13">
        <f>$C$16*(1+($G$3/7)*1)</f>
        <v>449.47142857142859</v>
      </c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8" t="s">
        <v>33</v>
      </c>
      <c r="B23" s="9" t="s">
        <v>28</v>
      </c>
      <c r="C23" s="13">
        <v>29</v>
      </c>
      <c r="D23" s="13">
        <f>$C$17*(1+($G$3/7)*1)</f>
        <v>65.7</v>
      </c>
    </row>
    <row r="24" spans="1:17" ht="15">
      <c r="A24" s="8" t="s">
        <v>33</v>
      </c>
      <c r="B24" s="9" t="s">
        <v>29</v>
      </c>
      <c r="C24" s="13">
        <v>546</v>
      </c>
      <c r="D24" s="13">
        <f>$C$18*(1+($G$3/7)*1)</f>
        <v>937.52857142857147</v>
      </c>
      <c r="G24" s="7" t="s">
        <v>34</v>
      </c>
    </row>
    <row r="25" spans="1:17">
      <c r="A25" s="8" t="s">
        <v>33</v>
      </c>
      <c r="B25" s="9" t="s">
        <v>30</v>
      </c>
      <c r="C25" s="13">
        <v>134</v>
      </c>
      <c r="D25" s="13">
        <f>$C$19*(1+($G$3/7)*1)</f>
        <v>177.28571428571431</v>
      </c>
    </row>
    <row r="26" spans="1:17" ht="31.5">
      <c r="A26" s="8" t="s">
        <v>33</v>
      </c>
      <c r="B26" s="9" t="s">
        <v>31</v>
      </c>
      <c r="C26" s="13">
        <v>14</v>
      </c>
      <c r="D26" s="13">
        <f>$C$20*(1+($G$3/7)*1)</f>
        <v>13.557142857142859</v>
      </c>
      <c r="G26" s="19" t="s">
        <v>22</v>
      </c>
      <c r="H26" s="20" t="s">
        <v>35</v>
      </c>
      <c r="I26" s="21" t="s">
        <v>57</v>
      </c>
      <c r="J26" s="21" t="s">
        <v>58</v>
      </c>
      <c r="K26" s="21" t="s">
        <v>3</v>
      </c>
      <c r="L26" s="20" t="s">
        <v>38</v>
      </c>
    </row>
    <row r="27" spans="1:17" ht="15.75">
      <c r="A27" s="8" t="s">
        <v>33</v>
      </c>
      <c r="B27" s="9" t="s">
        <v>32</v>
      </c>
      <c r="C27" s="13">
        <v>189</v>
      </c>
      <c r="D27" s="13">
        <f>$C$21*(1+($G$3/7)*1)</f>
        <v>345.18571428571431</v>
      </c>
      <c r="G27" s="64" t="s">
        <v>39</v>
      </c>
      <c r="H27" s="65"/>
      <c r="I27" s="65"/>
      <c r="J27" s="65"/>
      <c r="K27" s="65"/>
      <c r="L27" s="66"/>
    </row>
    <row r="28" spans="1:17" ht="15.75">
      <c r="A28" s="8" t="s">
        <v>40</v>
      </c>
      <c r="B28" s="9" t="s">
        <v>26</v>
      </c>
      <c r="C28" s="13">
        <v>323</v>
      </c>
      <c r="D28" s="13">
        <f>$C$16*(1+($G$3/7)*2)</f>
        <v>467.94285714285712</v>
      </c>
      <c r="G28" s="22" t="s">
        <v>26</v>
      </c>
      <c r="H28" s="24">
        <f>$C$16</f>
        <v>431</v>
      </c>
      <c r="I28" s="25">
        <f t="shared" ref="I28:I33" si="3">D28</f>
        <v>467.94285714285712</v>
      </c>
      <c r="J28" s="25">
        <f t="shared" ref="J28:J33" si="4">C28</f>
        <v>323</v>
      </c>
      <c r="K28" s="26">
        <f t="shared" ref="K28:K33" si="5">J28-I28</f>
        <v>-144.94285714285712</v>
      </c>
      <c r="L28" s="23" t="str">
        <f t="shared" ref="L28:L33" si="6">IF(K28&lt;0, "Not Met","Met")</f>
        <v>Not Met</v>
      </c>
    </row>
    <row r="29" spans="1:17" ht="31.5">
      <c r="A29" s="8" t="s">
        <v>40</v>
      </c>
      <c r="B29" s="9" t="s">
        <v>28</v>
      </c>
      <c r="C29" s="13">
        <v>41</v>
      </c>
      <c r="D29" s="13">
        <f>$C$17*(1+($G$3/7)*2)</f>
        <v>68.399999999999991</v>
      </c>
      <c r="G29" s="22" t="s">
        <v>41</v>
      </c>
      <c r="H29" s="24">
        <f>$C$17</f>
        <v>63</v>
      </c>
      <c r="I29" s="25">
        <f t="shared" si="3"/>
        <v>68.399999999999991</v>
      </c>
      <c r="J29" s="25">
        <f t="shared" si="4"/>
        <v>41</v>
      </c>
      <c r="K29" s="26">
        <f t="shared" si="5"/>
        <v>-27.399999999999991</v>
      </c>
      <c r="L29" s="23" t="str">
        <f t="shared" si="6"/>
        <v>Not Met</v>
      </c>
    </row>
    <row r="30" spans="1:17" ht="15.75">
      <c r="A30" s="8" t="s">
        <v>40</v>
      </c>
      <c r="B30" s="9" t="s">
        <v>29</v>
      </c>
      <c r="C30" s="13">
        <v>763</v>
      </c>
      <c r="D30" s="13">
        <f>$C$18*(1+($G$3/7)*2)</f>
        <v>976.05714285714282</v>
      </c>
      <c r="G30" s="22" t="s">
        <v>29</v>
      </c>
      <c r="H30" s="24">
        <f>$C$18</f>
        <v>899</v>
      </c>
      <c r="I30" s="25">
        <f t="shared" si="3"/>
        <v>976.05714285714282</v>
      </c>
      <c r="J30" s="25">
        <f t="shared" si="4"/>
        <v>763</v>
      </c>
      <c r="K30" s="26">
        <f t="shared" si="5"/>
        <v>-213.05714285714282</v>
      </c>
      <c r="L30" s="23" t="str">
        <f t="shared" si="6"/>
        <v>Not Met</v>
      </c>
    </row>
    <row r="31" spans="1:17" ht="15.75">
      <c r="A31" s="8" t="s">
        <v>40</v>
      </c>
      <c r="B31" s="9" t="s">
        <v>30</v>
      </c>
      <c r="C31" s="13">
        <v>171</v>
      </c>
      <c r="D31" s="13">
        <f>$C$19*(1+($G$3/7)*2)</f>
        <v>184.57142857142856</v>
      </c>
      <c r="G31" s="22" t="s">
        <v>30</v>
      </c>
      <c r="H31" s="24">
        <f>$C$19</f>
        <v>170</v>
      </c>
      <c r="I31" s="25">
        <f t="shared" si="3"/>
        <v>184.57142857142856</v>
      </c>
      <c r="J31" s="25">
        <f t="shared" si="4"/>
        <v>171</v>
      </c>
      <c r="K31" s="26">
        <f t="shared" si="5"/>
        <v>-13.571428571428555</v>
      </c>
      <c r="L31" s="23" t="str">
        <f t="shared" si="6"/>
        <v>Not Met</v>
      </c>
    </row>
    <row r="32" spans="1:17" ht="31.5">
      <c r="A32" s="8" t="s">
        <v>40</v>
      </c>
      <c r="B32" s="9" t="s">
        <v>31</v>
      </c>
      <c r="C32" s="13">
        <v>20</v>
      </c>
      <c r="D32" s="13">
        <f>$C$20*(1+($G$3/7)*2)</f>
        <v>14.114285714285714</v>
      </c>
      <c r="G32" s="22" t="s">
        <v>31</v>
      </c>
      <c r="H32" s="24">
        <f>$C$20</f>
        <v>13</v>
      </c>
      <c r="I32" s="25">
        <f t="shared" si="3"/>
        <v>14.114285714285714</v>
      </c>
      <c r="J32" s="25">
        <f t="shared" si="4"/>
        <v>20</v>
      </c>
      <c r="K32" s="26">
        <f t="shared" si="5"/>
        <v>5.8857142857142861</v>
      </c>
      <c r="L32" s="23" t="str">
        <f t="shared" si="6"/>
        <v>Met</v>
      </c>
    </row>
    <row r="33" spans="1:12" ht="15.75">
      <c r="A33" s="8" t="s">
        <v>40</v>
      </c>
      <c r="B33" s="9" t="s">
        <v>32</v>
      </c>
      <c r="C33" s="13">
        <v>217</v>
      </c>
      <c r="D33" s="13">
        <f>$C$21*(1+($G$3/7)*2)</f>
        <v>359.37142857142857</v>
      </c>
      <c r="G33" s="22" t="s">
        <v>32</v>
      </c>
      <c r="H33" s="24">
        <f>$C$21</f>
        <v>331</v>
      </c>
      <c r="I33" s="25">
        <f t="shared" si="3"/>
        <v>359.37142857142857</v>
      </c>
      <c r="J33" s="25">
        <f t="shared" si="4"/>
        <v>217</v>
      </c>
      <c r="K33" s="26">
        <f t="shared" si="5"/>
        <v>-142.37142857142857</v>
      </c>
      <c r="L33" s="23" t="str">
        <f t="shared" si="6"/>
        <v>Not Met</v>
      </c>
    </row>
    <row r="34" spans="1:12" ht="15.75">
      <c r="A34" s="8" t="s">
        <v>42</v>
      </c>
      <c r="B34" s="9" t="s">
        <v>26</v>
      </c>
      <c r="C34" s="13"/>
      <c r="D34" s="13"/>
      <c r="G34" s="64" t="s">
        <v>43</v>
      </c>
      <c r="H34" s="65"/>
      <c r="I34" s="65"/>
      <c r="J34" s="65"/>
      <c r="K34" s="65"/>
      <c r="L34" s="66"/>
    </row>
    <row r="35" spans="1:12" ht="15.75">
      <c r="A35" s="8" t="s">
        <v>42</v>
      </c>
      <c r="B35" s="9" t="s">
        <v>28</v>
      </c>
      <c r="C35" s="13"/>
      <c r="D35" s="13"/>
      <c r="G35" s="22" t="s">
        <v>44</v>
      </c>
      <c r="H35" s="24">
        <f>$D$41</f>
        <v>1054</v>
      </c>
      <c r="I35" s="25">
        <f>D49</f>
        <v>1144.3428571428572</v>
      </c>
      <c r="J35" s="25">
        <f>C49</f>
        <v>822</v>
      </c>
      <c r="K35" s="26">
        <f>J35-I35</f>
        <v>-322.34285714285716</v>
      </c>
      <c r="L35" s="23" t="str">
        <f>IF(K35&lt;0, "Not Met","Met")</f>
        <v>Not Met</v>
      </c>
    </row>
    <row r="36" spans="1:12" ht="15.75">
      <c r="A36" s="8" t="s">
        <v>42</v>
      </c>
      <c r="B36" s="9" t="s">
        <v>29</v>
      </c>
      <c r="C36" s="13"/>
      <c r="D36" s="13"/>
      <c r="G36" s="22" t="s">
        <v>45</v>
      </c>
      <c r="H36" s="24">
        <f>$D$42</f>
        <v>832</v>
      </c>
      <c r="I36" s="25">
        <f>D50</f>
        <v>903.31428571428569</v>
      </c>
      <c r="J36" s="25">
        <f>C50</f>
        <v>657</v>
      </c>
      <c r="K36" s="26">
        <f>J36-I36</f>
        <v>-246.31428571428569</v>
      </c>
      <c r="L36" s="23" t="str">
        <f>IF(K36&lt;0, "Not Met","Met")</f>
        <v>Not Met</v>
      </c>
    </row>
    <row r="37" spans="1:12" ht="15.75">
      <c r="A37" s="8" t="s">
        <v>42</v>
      </c>
      <c r="B37" s="9" t="s">
        <v>30</v>
      </c>
      <c r="C37" s="13"/>
      <c r="D37" s="13"/>
      <c r="G37" s="22" t="s">
        <v>46</v>
      </c>
      <c r="H37" s="24">
        <f>$D$43</f>
        <v>19</v>
      </c>
      <c r="I37" s="25">
        <f>D51</f>
        <v>20.628571428571426</v>
      </c>
      <c r="J37" s="25">
        <f>C51</f>
        <v>22</v>
      </c>
      <c r="K37" s="26">
        <f>J37-I37</f>
        <v>1.3714285714285737</v>
      </c>
      <c r="L37" s="23" t="str">
        <f>IF(K37&lt;0, "Not Met","Met")</f>
        <v>Met</v>
      </c>
    </row>
    <row r="38" spans="1:12" ht="15.75">
      <c r="A38" s="8" t="s">
        <v>42</v>
      </c>
      <c r="B38" s="9" t="s">
        <v>31</v>
      </c>
      <c r="C38" s="13"/>
      <c r="D38" s="13"/>
      <c r="G38" s="22" t="s">
        <v>47</v>
      </c>
      <c r="H38" s="24">
        <f>$D$44</f>
        <v>57</v>
      </c>
      <c r="I38" s="25">
        <f>D52</f>
        <v>61.885714285714279</v>
      </c>
      <c r="J38" s="25">
        <f>C52</f>
        <v>47</v>
      </c>
      <c r="K38" s="26">
        <f>J38-I38</f>
        <v>-14.885714285714279</v>
      </c>
      <c r="L38" s="23" t="str">
        <f>IF(K38&lt;0, "Not Met","Met")</f>
        <v>Not Met</v>
      </c>
    </row>
    <row r="39" spans="1:12" ht="15.75">
      <c r="A39" s="10" t="s">
        <v>42</v>
      </c>
      <c r="B39" s="11" t="s">
        <v>32</v>
      </c>
      <c r="C39" s="13"/>
      <c r="D39" s="13"/>
      <c r="G39" s="64" t="s">
        <v>48</v>
      </c>
      <c r="H39" s="65"/>
      <c r="I39" s="65"/>
      <c r="J39" s="65"/>
      <c r="K39" s="65"/>
      <c r="L39" s="66"/>
    </row>
    <row r="40" spans="1:12" ht="31.5">
      <c r="A40" s="7" t="s">
        <v>0</v>
      </c>
      <c r="B40" s="7" t="s">
        <v>22</v>
      </c>
      <c r="C40" s="7" t="s">
        <v>23</v>
      </c>
      <c r="D40" s="13"/>
      <c r="G40" s="22" t="s">
        <v>49</v>
      </c>
      <c r="H40" s="24">
        <f>$D$58</f>
        <v>585</v>
      </c>
      <c r="I40" s="25">
        <f>D64</f>
        <v>635.14285714285711</v>
      </c>
      <c r="J40" s="25">
        <f>C64</f>
        <v>457</v>
      </c>
      <c r="K40" s="26">
        <f>J40-I40</f>
        <v>-178.14285714285711</v>
      </c>
      <c r="L40" s="23" t="str">
        <f>IF(K40&lt;0, "Not Met","Met")</f>
        <v>Not Met</v>
      </c>
    </row>
    <row r="41" spans="1:12" ht="47.25">
      <c r="A41" s="8" t="s">
        <v>25</v>
      </c>
      <c r="B41" s="9" t="s">
        <v>44</v>
      </c>
      <c r="C41" s="12">
        <v>1054</v>
      </c>
      <c r="D41" s="13">
        <f>C41</f>
        <v>1054</v>
      </c>
      <c r="F41" s="5" t="s">
        <v>27</v>
      </c>
      <c r="G41" s="22" t="s">
        <v>50</v>
      </c>
      <c r="H41" s="24">
        <f>$D$59</f>
        <v>1296</v>
      </c>
      <c r="I41" s="25">
        <f>D65</f>
        <v>1407.0857142857142</v>
      </c>
      <c r="J41" s="25">
        <f>C65</f>
        <v>1006</v>
      </c>
      <c r="K41" s="26">
        <f>J41-I41</f>
        <v>-401.08571428571418</v>
      </c>
      <c r="L41" s="23" t="str">
        <f>IF(K41&lt;0, "Not Met","Met")</f>
        <v>Not Met</v>
      </c>
    </row>
    <row r="42" spans="1:12" ht="15.75">
      <c r="A42" s="8" t="s">
        <v>25</v>
      </c>
      <c r="B42" s="9" t="s">
        <v>45</v>
      </c>
      <c r="C42" s="12">
        <v>832</v>
      </c>
      <c r="D42" s="13">
        <f>C42</f>
        <v>832</v>
      </c>
      <c r="F42" s="5" t="s">
        <v>27</v>
      </c>
      <c r="G42" s="22" t="s">
        <v>47</v>
      </c>
      <c r="H42" s="24">
        <f>$D$60</f>
        <v>81</v>
      </c>
      <c r="I42" s="25">
        <f>D66</f>
        <v>87.942857142857136</v>
      </c>
      <c r="J42" s="25">
        <f>C66</f>
        <v>85</v>
      </c>
      <c r="K42" s="26">
        <f>J42-I42</f>
        <v>-2.942857142857136</v>
      </c>
      <c r="L42" s="23" t="str">
        <f>IF(K42&lt;0, "Not Met","Met")</f>
        <v>Not Met</v>
      </c>
    </row>
    <row r="43" spans="1:12">
      <c r="A43" s="8" t="s">
        <v>25</v>
      </c>
      <c r="B43" s="9" t="s">
        <v>46</v>
      </c>
      <c r="C43" s="12">
        <v>19</v>
      </c>
      <c r="D43" s="13">
        <f>C43</f>
        <v>19</v>
      </c>
      <c r="F43" s="5" t="s">
        <v>27</v>
      </c>
      <c r="G43" s="14" t="s">
        <v>51</v>
      </c>
    </row>
    <row r="44" spans="1:12">
      <c r="A44" s="8" t="s">
        <v>25</v>
      </c>
      <c r="B44" s="9" t="s">
        <v>47</v>
      </c>
      <c r="C44" s="12">
        <v>57</v>
      </c>
      <c r="D44" s="13">
        <f>C44</f>
        <v>57</v>
      </c>
      <c r="F44" s="5" t="s">
        <v>27</v>
      </c>
    </row>
    <row r="45" spans="1:12">
      <c r="A45" s="8" t="s">
        <v>33</v>
      </c>
      <c r="B45" s="9" t="s">
        <v>44</v>
      </c>
      <c r="C45" s="12">
        <v>599</v>
      </c>
      <c r="D45" s="13">
        <f>$C$41*(1+($G$3/7)*1)</f>
        <v>1099.1714285714286</v>
      </c>
    </row>
    <row r="46" spans="1:12">
      <c r="A46" s="8" t="s">
        <v>33</v>
      </c>
      <c r="B46" s="9" t="s">
        <v>45</v>
      </c>
      <c r="C46" s="12">
        <v>513</v>
      </c>
      <c r="D46" s="13">
        <f>$C$42*(1+($G$3/7)*1)</f>
        <v>867.65714285714296</v>
      </c>
    </row>
    <row r="47" spans="1:12">
      <c r="A47" s="8" t="s">
        <v>33</v>
      </c>
      <c r="B47" s="9" t="s">
        <v>46</v>
      </c>
      <c r="C47" s="12">
        <v>19</v>
      </c>
      <c r="D47" s="13">
        <f>$C$43*(1+($G$3/7)*1)</f>
        <v>19.814285714285717</v>
      </c>
    </row>
    <row r="48" spans="1:12">
      <c r="A48" s="8" t="s">
        <v>33</v>
      </c>
      <c r="B48" s="9" t="s">
        <v>47</v>
      </c>
      <c r="C48" s="12">
        <v>39</v>
      </c>
      <c r="D48" s="13">
        <f>$C$44*(1+($G$3/7)*1)</f>
        <v>59.44285714285715</v>
      </c>
    </row>
    <row r="49" spans="1:6">
      <c r="A49" s="8" t="s">
        <v>40</v>
      </c>
      <c r="B49" s="9" t="s">
        <v>44</v>
      </c>
      <c r="C49" s="12">
        <v>822</v>
      </c>
      <c r="D49" s="13">
        <f>$C$41*(1+($G$3/7)*2)</f>
        <v>1144.3428571428572</v>
      </c>
    </row>
    <row r="50" spans="1:6">
      <c r="A50" s="8" t="s">
        <v>40</v>
      </c>
      <c r="B50" s="9" t="s">
        <v>45</v>
      </c>
      <c r="C50" s="12">
        <v>657</v>
      </c>
      <c r="D50" s="13">
        <f>$C$42*(1+($G$3/7)*2)</f>
        <v>903.31428571428569</v>
      </c>
    </row>
    <row r="51" spans="1:6">
      <c r="A51" s="8" t="s">
        <v>40</v>
      </c>
      <c r="B51" s="9" t="s">
        <v>46</v>
      </c>
      <c r="C51" s="12">
        <v>22</v>
      </c>
      <c r="D51" s="13">
        <f>$C$43*(1+($G$3/7)*2)</f>
        <v>20.628571428571426</v>
      </c>
    </row>
    <row r="52" spans="1:6">
      <c r="A52" s="8" t="s">
        <v>40</v>
      </c>
      <c r="B52" s="9" t="s">
        <v>47</v>
      </c>
      <c r="C52" s="12">
        <v>47</v>
      </c>
      <c r="D52" s="13">
        <f>$C$44*(1+($G$3/7)*2)</f>
        <v>61.885714285714279</v>
      </c>
    </row>
    <row r="53" spans="1:6">
      <c r="A53" s="8" t="s">
        <v>42</v>
      </c>
      <c r="B53" s="9" t="s">
        <v>44</v>
      </c>
      <c r="C53" s="12"/>
      <c r="D53" s="13"/>
    </row>
    <row r="54" spans="1:6">
      <c r="A54" s="8" t="s">
        <v>42</v>
      </c>
      <c r="B54" s="9" t="s">
        <v>45</v>
      </c>
      <c r="C54" s="12"/>
      <c r="D54" s="13"/>
    </row>
    <row r="55" spans="1:6">
      <c r="A55" s="8" t="s">
        <v>42</v>
      </c>
      <c r="B55" s="9" t="s">
        <v>46</v>
      </c>
      <c r="C55" s="12"/>
      <c r="D55" s="13"/>
    </row>
    <row r="56" spans="1:6">
      <c r="A56" s="10" t="s">
        <v>42</v>
      </c>
      <c r="B56" s="11" t="s">
        <v>47</v>
      </c>
      <c r="C56" s="4"/>
      <c r="D56" s="13"/>
    </row>
    <row r="57" spans="1:6" ht="15">
      <c r="A57" s="7" t="s">
        <v>0</v>
      </c>
      <c r="B57" s="7" t="s">
        <v>22</v>
      </c>
      <c r="C57" s="7" t="s">
        <v>23</v>
      </c>
      <c r="D57" s="13"/>
    </row>
    <row r="58" spans="1:6">
      <c r="A58" s="8" t="s">
        <v>25</v>
      </c>
      <c r="B58" s="9" t="s">
        <v>49</v>
      </c>
      <c r="C58" s="12">
        <v>585</v>
      </c>
      <c r="D58" s="13">
        <f>C58</f>
        <v>585</v>
      </c>
      <c r="F58" s="5" t="s">
        <v>27</v>
      </c>
    </row>
    <row r="59" spans="1:6">
      <c r="A59" s="8" t="s">
        <v>25</v>
      </c>
      <c r="B59" s="9" t="s">
        <v>50</v>
      </c>
      <c r="C59" s="12">
        <v>1296</v>
      </c>
      <c r="D59" s="13">
        <f>C59</f>
        <v>1296</v>
      </c>
      <c r="F59" s="5" t="s">
        <v>27</v>
      </c>
    </row>
    <row r="60" spans="1:6">
      <c r="A60" s="8" t="s">
        <v>25</v>
      </c>
      <c r="B60" s="9" t="s">
        <v>47</v>
      </c>
      <c r="C60" s="12">
        <v>81</v>
      </c>
      <c r="D60" s="13">
        <f>C60</f>
        <v>81</v>
      </c>
      <c r="F60" s="5" t="s">
        <v>27</v>
      </c>
    </row>
    <row r="61" spans="1:6">
      <c r="A61" s="8" t="s">
        <v>33</v>
      </c>
      <c r="B61" s="9" t="s">
        <v>49</v>
      </c>
      <c r="C61" s="12">
        <v>305</v>
      </c>
      <c r="D61" s="13">
        <f>$C$58*(1+($G$3/7)*1)</f>
        <v>610.07142857142867</v>
      </c>
    </row>
    <row r="62" spans="1:6">
      <c r="A62" s="8" t="s">
        <v>33</v>
      </c>
      <c r="B62" s="9" t="s">
        <v>50</v>
      </c>
      <c r="C62" s="12">
        <v>783</v>
      </c>
      <c r="D62" s="13">
        <f>$C$59*(1+($G$3/7)*1)</f>
        <v>1351.5428571428572</v>
      </c>
    </row>
    <row r="63" spans="1:6">
      <c r="A63" s="8" t="s">
        <v>33</v>
      </c>
      <c r="B63" s="9" t="s">
        <v>47</v>
      </c>
      <c r="C63" s="12">
        <v>82</v>
      </c>
      <c r="D63" s="13">
        <f>$C$60*(1+($G$3/7)*1)</f>
        <v>84.471428571428575</v>
      </c>
    </row>
    <row r="64" spans="1:6">
      <c r="A64" s="8" t="s">
        <v>40</v>
      </c>
      <c r="B64" s="9" t="s">
        <v>49</v>
      </c>
      <c r="C64" s="12">
        <v>457</v>
      </c>
      <c r="D64" s="13">
        <f>$C$58*(1+($G$3/7)*2)</f>
        <v>635.14285714285711</v>
      </c>
    </row>
    <row r="65" spans="1:4">
      <c r="A65" s="8" t="s">
        <v>40</v>
      </c>
      <c r="B65" s="9" t="s">
        <v>50</v>
      </c>
      <c r="C65" s="12">
        <v>1006</v>
      </c>
      <c r="D65" s="13">
        <f>$C$59*(1+($G$3/7)*2)</f>
        <v>1407.0857142857142</v>
      </c>
    </row>
    <row r="66" spans="1:4">
      <c r="A66" s="8" t="s">
        <v>40</v>
      </c>
      <c r="B66" s="9" t="s">
        <v>47</v>
      </c>
      <c r="C66" s="12">
        <v>85</v>
      </c>
      <c r="D66" s="13">
        <f>$C$60*(1+($G$3/7)*2)</f>
        <v>87.942857142857136</v>
      </c>
    </row>
    <row r="67" spans="1:4">
      <c r="A67" s="8" t="s">
        <v>42</v>
      </c>
      <c r="B67" s="9" t="s">
        <v>49</v>
      </c>
      <c r="C67" s="12"/>
      <c r="D67" s="13"/>
    </row>
    <row r="68" spans="1:4">
      <c r="A68" s="8" t="s">
        <v>42</v>
      </c>
      <c r="B68" s="9" t="s">
        <v>50</v>
      </c>
      <c r="C68" s="12"/>
      <c r="D68" s="13"/>
    </row>
    <row r="69" spans="1:4">
      <c r="A69" s="10" t="s">
        <v>42</v>
      </c>
      <c r="B69" s="11" t="s">
        <v>47</v>
      </c>
      <c r="C69" s="4"/>
      <c r="D69" s="13"/>
    </row>
  </sheetData>
  <mergeCells count="7">
    <mergeCell ref="G39:L39"/>
    <mergeCell ref="A12:G12"/>
    <mergeCell ref="B13:F13"/>
    <mergeCell ref="B14:F14"/>
    <mergeCell ref="I21:Q22"/>
    <mergeCell ref="G27:L27"/>
    <mergeCell ref="G34:L34"/>
  </mergeCells>
  <conditionalFormatting sqref="L26 L28:L33">
    <cfRule type="beginsWith" dxfId="9" priority="5" operator="beginsWith" text="Met">
      <formula>LEFT(L26,LEN("Met"))="Met"</formula>
    </cfRule>
    <cfRule type="beginsWith" dxfId="8" priority="6" operator="beginsWith" text="Not Met">
      <formula>LEFT(L26,LEN("Not Met"))="Not Met"</formula>
    </cfRule>
  </conditionalFormatting>
  <conditionalFormatting sqref="L35:L38">
    <cfRule type="beginsWith" dxfId="7" priority="3" operator="beginsWith" text="Met">
      <formula>LEFT(L35,LEN("Met"))="Met"</formula>
    </cfRule>
    <cfRule type="beginsWith" dxfId="6" priority="4" operator="beginsWith" text="Not Met">
      <formula>LEFT(L35,LEN("Not Met"))="Not Met"</formula>
    </cfRule>
  </conditionalFormatting>
  <conditionalFormatting sqref="L40:L42">
    <cfRule type="beginsWith" dxfId="5" priority="1" operator="beginsWith" text="Met">
      <formula>LEFT(L40,LEN("Met"))="Met"</formula>
    </cfRule>
    <cfRule type="beginsWith" dxfId="4" priority="2" operator="beginsWith" text="Not Met">
      <formula>LEFT(L40,LEN("Not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13CD-CF72-4CAA-A81C-1AD3EDF9D3F9}">
  <dimension ref="A1:E74"/>
  <sheetViews>
    <sheetView workbookViewId="0">
      <selection activeCell="D30" sqref="D30"/>
    </sheetView>
  </sheetViews>
  <sheetFormatPr defaultRowHeight="15"/>
  <cols>
    <col min="1" max="1" width="13.5" style="60" customWidth="1"/>
    <col min="2" max="2" width="20.875" style="60" bestFit="1" customWidth="1"/>
    <col min="3" max="3" width="22.75" style="60" bestFit="1" customWidth="1"/>
    <col min="4" max="4" width="26.5" style="60" bestFit="1" customWidth="1"/>
    <col min="5" max="5" width="9" style="60"/>
    <col min="6" max="16384" width="9" style="59"/>
  </cols>
  <sheetData>
    <row r="1" spans="1:4">
      <c r="A1" s="60" t="s">
        <v>59</v>
      </c>
      <c r="B1" s="60" t="s">
        <v>25</v>
      </c>
      <c r="C1" s="60" t="s">
        <v>33</v>
      </c>
      <c r="D1" s="60" t="s">
        <v>40</v>
      </c>
    </row>
    <row r="2" spans="1:4">
      <c r="A2" s="60" t="s">
        <v>60</v>
      </c>
      <c r="B2" s="60">
        <v>5346</v>
      </c>
      <c r="C2" s="60">
        <v>5561</v>
      </c>
      <c r="D2" s="60">
        <v>5744</v>
      </c>
    </row>
    <row r="3" spans="1:4">
      <c r="A3" s="60" t="s">
        <v>61</v>
      </c>
      <c r="B3" s="60">
        <v>1962</v>
      </c>
      <c r="C3" s="60">
        <v>1170</v>
      </c>
      <c r="D3" s="60">
        <v>1548</v>
      </c>
    </row>
    <row r="4" spans="1:4">
      <c r="A4" s="60" t="s">
        <v>62</v>
      </c>
      <c r="B4" s="63">
        <f>B3/B2</f>
        <v>0.367003367003367</v>
      </c>
      <c r="C4" s="63">
        <f t="shared" ref="C4:D4" si="0">C3/C2</f>
        <v>0.21039381406221902</v>
      </c>
      <c r="D4" s="63">
        <f t="shared" si="0"/>
        <v>0.26949860724233982</v>
      </c>
    </row>
    <row r="8" spans="1:4">
      <c r="A8" s="60" t="s">
        <v>59</v>
      </c>
      <c r="B8" s="60" t="s">
        <v>25</v>
      </c>
      <c r="C8" s="60" t="s">
        <v>33</v>
      </c>
      <c r="D8" s="60" t="s">
        <v>40</v>
      </c>
    </row>
    <row r="9" spans="1:4">
      <c r="A9" s="60" t="s">
        <v>63</v>
      </c>
      <c r="B9" s="61">
        <v>3384</v>
      </c>
      <c r="C9" s="61">
        <v>4391</v>
      </c>
      <c r="D9" s="61">
        <v>4196</v>
      </c>
    </row>
    <row r="10" spans="1:4">
      <c r="A10" s="60" t="s">
        <v>64</v>
      </c>
      <c r="B10" s="61">
        <v>1962</v>
      </c>
      <c r="C10" s="61">
        <v>1170</v>
      </c>
      <c r="D10" s="61">
        <v>1548</v>
      </c>
    </row>
    <row r="14" spans="1:4">
      <c r="B14" s="63"/>
      <c r="C14" s="63"/>
      <c r="D14" s="63"/>
    </row>
    <row r="15" spans="1:4">
      <c r="B15" s="63"/>
      <c r="C15" s="63"/>
      <c r="D15" s="63"/>
    </row>
    <row r="17" spans="1:4">
      <c r="B17" s="63"/>
      <c r="C17" s="63"/>
      <c r="D17" s="63"/>
    </row>
    <row r="18" spans="1:4">
      <c r="A18" s="60" t="s">
        <v>0</v>
      </c>
      <c r="B18" s="60" t="s">
        <v>39</v>
      </c>
      <c r="C18" s="60" t="s">
        <v>63</v>
      </c>
      <c r="D18" s="60" t="s">
        <v>64</v>
      </c>
    </row>
    <row r="19" spans="1:4">
      <c r="A19" s="60" t="s">
        <v>65</v>
      </c>
      <c r="B19" s="60" t="s">
        <v>26</v>
      </c>
      <c r="C19" s="60">
        <v>598</v>
      </c>
      <c r="D19" s="60">
        <v>431</v>
      </c>
    </row>
    <row r="20" spans="1:4">
      <c r="A20" s="60" t="s">
        <v>9</v>
      </c>
      <c r="C20" s="60">
        <v>821</v>
      </c>
      <c r="D20" s="60">
        <v>241</v>
      </c>
    </row>
    <row r="21" spans="1:4">
      <c r="A21" s="60" t="s">
        <v>11</v>
      </c>
      <c r="C21" s="60">
        <v>704</v>
      </c>
      <c r="D21" s="60">
        <v>323</v>
      </c>
    </row>
    <row r="22" spans="1:4">
      <c r="A22" s="60" t="s">
        <v>65</v>
      </c>
      <c r="B22" s="60" t="s">
        <v>28</v>
      </c>
      <c r="C22" s="60">
        <v>41</v>
      </c>
      <c r="D22" s="60">
        <v>63</v>
      </c>
    </row>
    <row r="23" spans="1:4">
      <c r="A23" s="60" t="s">
        <v>9</v>
      </c>
      <c r="C23" s="60">
        <v>90</v>
      </c>
      <c r="D23" s="60">
        <v>29</v>
      </c>
    </row>
    <row r="24" spans="1:4">
      <c r="A24" s="60" t="s">
        <v>11</v>
      </c>
      <c r="C24" s="60">
        <v>61</v>
      </c>
      <c r="D24" s="60">
        <v>41</v>
      </c>
    </row>
    <row r="25" spans="1:4">
      <c r="A25" s="60" t="s">
        <v>65</v>
      </c>
      <c r="B25" s="60" t="s">
        <v>29</v>
      </c>
      <c r="C25" s="60">
        <v>1880</v>
      </c>
      <c r="D25" s="60">
        <v>899</v>
      </c>
    </row>
    <row r="26" spans="1:4">
      <c r="A26" s="60" t="s">
        <v>9</v>
      </c>
      <c r="C26" s="60">
        <v>2400</v>
      </c>
      <c r="D26" s="60">
        <v>546</v>
      </c>
    </row>
    <row r="27" spans="1:4">
      <c r="A27" s="60" t="s">
        <v>11</v>
      </c>
      <c r="C27" s="60">
        <v>2294</v>
      </c>
      <c r="D27" s="60">
        <v>763</v>
      </c>
    </row>
    <row r="28" spans="1:4">
      <c r="A28" s="60" t="s">
        <v>65</v>
      </c>
      <c r="B28" s="60" t="s">
        <v>30</v>
      </c>
      <c r="C28" s="60">
        <v>360</v>
      </c>
      <c r="D28" s="60">
        <v>170</v>
      </c>
    </row>
    <row r="29" spans="1:4">
      <c r="A29" s="60" t="s">
        <v>9</v>
      </c>
      <c r="C29" s="60">
        <v>469</v>
      </c>
      <c r="D29" s="60">
        <v>134</v>
      </c>
    </row>
    <row r="30" spans="1:4">
      <c r="A30" s="60" t="s">
        <v>11</v>
      </c>
      <c r="C30" s="60">
        <v>565</v>
      </c>
      <c r="D30" s="60">
        <v>171</v>
      </c>
    </row>
    <row r="31" spans="1:4">
      <c r="A31" s="60" t="s">
        <v>65</v>
      </c>
      <c r="B31" s="60" t="s">
        <v>32</v>
      </c>
      <c r="C31" s="60">
        <v>422</v>
      </c>
      <c r="D31" s="60">
        <v>331</v>
      </c>
    </row>
    <row r="32" spans="1:4">
      <c r="A32" s="60" t="s">
        <v>9</v>
      </c>
      <c r="C32" s="60">
        <v>536</v>
      </c>
      <c r="D32" s="60">
        <v>189</v>
      </c>
    </row>
    <row r="33" spans="1:4">
      <c r="A33" s="60" t="s">
        <v>11</v>
      </c>
      <c r="C33" s="60">
        <v>511</v>
      </c>
      <c r="D33" s="60">
        <v>217</v>
      </c>
    </row>
    <row r="51" spans="1:4">
      <c r="A51" s="60" t="s">
        <v>0</v>
      </c>
      <c r="B51" s="60" t="s">
        <v>39</v>
      </c>
      <c r="C51" s="60" t="s">
        <v>63</v>
      </c>
      <c r="D51" s="60" t="s">
        <v>64</v>
      </c>
    </row>
    <row r="52" spans="1:4">
      <c r="A52" s="60" t="s">
        <v>65</v>
      </c>
      <c r="C52" s="60">
        <v>1639</v>
      </c>
      <c r="D52" s="60">
        <v>1054</v>
      </c>
    </row>
    <row r="53" spans="1:4">
      <c r="A53" s="60" t="s">
        <v>9</v>
      </c>
      <c r="B53" s="60" t="s">
        <v>44</v>
      </c>
      <c r="C53" s="60">
        <v>2139</v>
      </c>
      <c r="D53" s="60">
        <v>599</v>
      </c>
    </row>
    <row r="54" spans="1:4">
      <c r="A54" s="60" t="s">
        <v>11</v>
      </c>
      <c r="C54" s="60">
        <v>2037</v>
      </c>
      <c r="D54" s="60">
        <v>822</v>
      </c>
    </row>
    <row r="55" spans="1:4">
      <c r="A55" s="60" t="s">
        <v>65</v>
      </c>
      <c r="C55" s="60">
        <v>1555</v>
      </c>
      <c r="D55" s="60">
        <v>832</v>
      </c>
    </row>
    <row r="56" spans="1:4">
      <c r="A56" s="60" t="s">
        <v>9</v>
      </c>
      <c r="B56" s="60" t="s">
        <v>45</v>
      </c>
      <c r="C56" s="60">
        <v>2019</v>
      </c>
      <c r="D56" s="60">
        <v>513</v>
      </c>
    </row>
    <row r="57" spans="1:4">
      <c r="A57" s="60" t="s">
        <v>11</v>
      </c>
      <c r="C57" s="60">
        <v>1916</v>
      </c>
      <c r="D57" s="60">
        <v>657</v>
      </c>
    </row>
    <row r="58" spans="1:4">
      <c r="A58" s="60" t="s">
        <v>65</v>
      </c>
      <c r="C58" s="60">
        <v>44</v>
      </c>
      <c r="D58" s="60">
        <v>19</v>
      </c>
    </row>
    <row r="59" spans="1:4">
      <c r="A59" s="60" t="s">
        <v>9</v>
      </c>
      <c r="B59" s="60" t="s">
        <v>46</v>
      </c>
      <c r="C59" s="60">
        <v>71</v>
      </c>
      <c r="D59" s="60">
        <v>19</v>
      </c>
    </row>
    <row r="60" spans="1:4">
      <c r="A60" s="60" t="s">
        <v>11</v>
      </c>
      <c r="C60" s="60">
        <v>81</v>
      </c>
      <c r="D60" s="60">
        <v>22</v>
      </c>
    </row>
    <row r="68" spans="1:4">
      <c r="A68" s="62" t="s">
        <v>0</v>
      </c>
      <c r="B68" s="62" t="s">
        <v>39</v>
      </c>
      <c r="C68" s="60" t="s">
        <v>63</v>
      </c>
      <c r="D68" s="60" t="s">
        <v>64</v>
      </c>
    </row>
    <row r="69" spans="1:4">
      <c r="A69" s="60" t="s">
        <v>65</v>
      </c>
      <c r="C69" s="60">
        <v>1243</v>
      </c>
      <c r="D69" s="60">
        <v>585</v>
      </c>
    </row>
    <row r="70" spans="1:4">
      <c r="A70" s="60" t="s">
        <v>9</v>
      </c>
      <c r="B70" s="60" t="s">
        <v>49</v>
      </c>
      <c r="C70" s="60">
        <v>1539</v>
      </c>
      <c r="D70" s="60">
        <v>305</v>
      </c>
    </row>
    <row r="71" spans="1:4">
      <c r="A71" s="60" t="s">
        <v>11</v>
      </c>
      <c r="C71" s="60">
        <v>1418</v>
      </c>
      <c r="D71" s="60">
        <v>457</v>
      </c>
    </row>
    <row r="72" spans="1:4">
      <c r="A72" s="60" t="s">
        <v>65</v>
      </c>
      <c r="C72" s="60">
        <v>1864</v>
      </c>
      <c r="D72" s="60">
        <v>1296</v>
      </c>
    </row>
    <row r="73" spans="1:4">
      <c r="A73" s="60" t="s">
        <v>9</v>
      </c>
      <c r="B73" s="60" t="s">
        <v>50</v>
      </c>
      <c r="C73" s="60">
        <v>2553</v>
      </c>
      <c r="D73" s="60">
        <v>783</v>
      </c>
    </row>
    <row r="74" spans="1:4">
      <c r="A74" s="60" t="s">
        <v>11</v>
      </c>
      <c r="C74" s="60">
        <v>2435</v>
      </c>
      <c r="D74" s="60">
        <v>1006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CBC3-325E-4849-81B6-F05214A4B232}">
  <dimension ref="A1:Q33"/>
  <sheetViews>
    <sheetView workbookViewId="0">
      <selection activeCell="F34" sqref="F34"/>
    </sheetView>
  </sheetViews>
  <sheetFormatPr defaultColWidth="8.875" defaultRowHeight="14.25"/>
  <cols>
    <col min="1" max="1" width="14" customWidth="1"/>
    <col min="2" max="3" width="13" customWidth="1"/>
    <col min="4" max="4" width="13.5" customWidth="1"/>
    <col min="5" max="5" width="3" customWidth="1"/>
    <col min="6" max="6" width="23.5" customWidth="1"/>
    <col min="7" max="7" width="16" customWidth="1"/>
  </cols>
  <sheetData>
    <row r="1" spans="1:7" ht="15">
      <c r="A1" s="2" t="s">
        <v>0</v>
      </c>
      <c r="B1" s="2" t="s">
        <v>1</v>
      </c>
      <c r="C1" s="2" t="s">
        <v>66</v>
      </c>
      <c r="D1" s="2" t="s">
        <v>3</v>
      </c>
      <c r="F1" s="2" t="s">
        <v>4</v>
      </c>
      <c r="G1" s="2" t="s">
        <v>5</v>
      </c>
    </row>
    <row r="2" spans="1:7">
      <c r="A2" t="s">
        <v>6</v>
      </c>
      <c r="B2" s="28">
        <v>3657</v>
      </c>
      <c r="C2" s="1">
        <f>$G$2</f>
        <v>3657</v>
      </c>
      <c r="D2" s="3" t="s">
        <v>7</v>
      </c>
      <c r="F2" t="s">
        <v>8</v>
      </c>
      <c r="G2" s="1">
        <f>B2</f>
        <v>3657</v>
      </c>
    </row>
    <row r="3" spans="1:7">
      <c r="A3" t="s">
        <v>9</v>
      </c>
      <c r="B3" s="28">
        <v>3373</v>
      </c>
      <c r="C3" s="1">
        <f t="shared" ref="C3:C9" si="0">$G$2*(1+$G$3*(ROW()-ROW($C$2))/$G$4)</f>
        <v>3813.7285714285717</v>
      </c>
      <c r="D3" s="18">
        <f t="shared" ref="D3:D9" si="1">B3-C3</f>
        <v>-440.72857142857174</v>
      </c>
      <c r="F3" t="s">
        <v>10</v>
      </c>
      <c r="G3" s="15">
        <v>0.3</v>
      </c>
    </row>
    <row r="4" spans="1:7">
      <c r="A4" t="s">
        <v>11</v>
      </c>
      <c r="B4" s="28">
        <v>3465</v>
      </c>
      <c r="C4" s="1">
        <f t="shared" si="0"/>
        <v>3970.4571428571426</v>
      </c>
      <c r="D4" s="18">
        <f t="shared" si="1"/>
        <v>-505.45714285714257</v>
      </c>
      <c r="F4" t="s">
        <v>12</v>
      </c>
      <c r="G4">
        <v>7</v>
      </c>
    </row>
    <row r="5" spans="1:7">
      <c r="A5" t="s">
        <v>13</v>
      </c>
      <c r="B5" s="28"/>
      <c r="C5" s="1">
        <f t="shared" si="0"/>
        <v>4127.1857142857143</v>
      </c>
      <c r="D5" s="18">
        <f t="shared" si="1"/>
        <v>-4127.1857142857143</v>
      </c>
      <c r="F5" t="s">
        <v>14</v>
      </c>
      <c r="G5" s="16">
        <f>G3/G4</f>
        <v>4.2857142857142858E-2</v>
      </c>
    </row>
    <row r="6" spans="1:7">
      <c r="A6" t="s">
        <v>15</v>
      </c>
      <c r="B6" s="1"/>
      <c r="C6" s="29">
        <f t="shared" si="0"/>
        <v>4283.9142857142861</v>
      </c>
      <c r="D6" s="18">
        <f t="shared" si="1"/>
        <v>-4283.9142857142861</v>
      </c>
      <c r="F6" t="s">
        <v>10</v>
      </c>
      <c r="G6" s="17">
        <f>($G$2*G3)+G2</f>
        <v>4754.1000000000004</v>
      </c>
    </row>
    <row r="7" spans="1:7">
      <c r="A7" t="s">
        <v>16</v>
      </c>
      <c r="B7" s="1"/>
      <c r="C7" s="1">
        <f t="shared" si="0"/>
        <v>4440.6428571428569</v>
      </c>
      <c r="D7" s="18">
        <f t="shared" si="1"/>
        <v>-4440.6428571428569</v>
      </c>
    </row>
    <row r="8" spans="1:7">
      <c r="A8" t="s">
        <v>17</v>
      </c>
      <c r="B8" s="1"/>
      <c r="C8" s="1">
        <f t="shared" si="0"/>
        <v>4597.3714285714286</v>
      </c>
      <c r="D8" s="18">
        <f t="shared" si="1"/>
        <v>-4597.3714285714286</v>
      </c>
      <c r="F8" t="s">
        <v>18</v>
      </c>
    </row>
    <row r="9" spans="1:7">
      <c r="A9" t="s">
        <v>19</v>
      </c>
      <c r="B9" s="1"/>
      <c r="C9" s="1">
        <f t="shared" si="0"/>
        <v>4754.1000000000004</v>
      </c>
      <c r="D9" s="18">
        <f t="shared" si="1"/>
        <v>-4754.1000000000004</v>
      </c>
      <c r="F9" t="s">
        <v>20</v>
      </c>
    </row>
    <row r="10" spans="1:7">
      <c r="F10" t="s">
        <v>21</v>
      </c>
    </row>
    <row r="12" spans="1:7" ht="15">
      <c r="A12" s="69"/>
      <c r="B12" s="69"/>
      <c r="C12" s="69"/>
      <c r="D12" s="69"/>
      <c r="E12" s="69"/>
      <c r="F12" s="69"/>
      <c r="G12" s="69"/>
    </row>
    <row r="13" spans="1:7" s="6" customFormat="1">
      <c r="A13" s="5"/>
      <c r="B13" s="67"/>
      <c r="C13" s="67"/>
      <c r="D13" s="67"/>
      <c r="E13" s="67"/>
      <c r="F13" s="67"/>
      <c r="G13" s="5"/>
    </row>
    <row r="14" spans="1:7" s="6" customFormat="1">
      <c r="A14" s="5"/>
      <c r="B14" s="67"/>
      <c r="C14" s="67"/>
      <c r="D14" s="67"/>
      <c r="E14" s="67"/>
      <c r="F14" s="67"/>
      <c r="G14" s="5"/>
    </row>
    <row r="15" spans="1:7" s="6" customFormat="1" ht="15">
      <c r="A15" s="7" t="s">
        <v>0</v>
      </c>
      <c r="B15" s="7" t="s">
        <v>67</v>
      </c>
      <c r="C15" s="7" t="s">
        <v>23</v>
      </c>
      <c r="D15" s="7" t="s">
        <v>24</v>
      </c>
      <c r="E15" s="5"/>
      <c r="F15" s="5"/>
      <c r="G15" s="5"/>
    </row>
    <row r="16" spans="1:7" s="6" customFormat="1">
      <c r="A16" s="8" t="s">
        <v>25</v>
      </c>
      <c r="B16" s="9" t="s">
        <v>68</v>
      </c>
      <c r="C16" s="13">
        <v>2172</v>
      </c>
      <c r="D16" s="13">
        <f>C16</f>
        <v>2172</v>
      </c>
      <c r="E16" s="5"/>
      <c r="F16" s="5" t="s">
        <v>27</v>
      </c>
      <c r="G16" s="5"/>
    </row>
    <row r="17" spans="1:17" s="6" customFormat="1">
      <c r="A17" s="8" t="s">
        <v>25</v>
      </c>
      <c r="B17" s="9" t="s">
        <v>69</v>
      </c>
      <c r="C17" s="13">
        <v>388</v>
      </c>
      <c r="D17" s="13">
        <f>C17</f>
        <v>388</v>
      </c>
      <c r="E17" s="5"/>
      <c r="F17" s="5" t="s">
        <v>27</v>
      </c>
    </row>
    <row r="18" spans="1:17">
      <c r="A18" s="8" t="s">
        <v>25</v>
      </c>
      <c r="B18" s="9" t="s">
        <v>70</v>
      </c>
      <c r="C18" s="13">
        <v>340</v>
      </c>
      <c r="D18" s="13">
        <f>C18</f>
        <v>340</v>
      </c>
      <c r="F18" s="5" t="s">
        <v>27</v>
      </c>
    </row>
    <row r="19" spans="1:17">
      <c r="A19" s="8" t="s">
        <v>25</v>
      </c>
      <c r="B19" s="9" t="s">
        <v>71</v>
      </c>
      <c r="C19" s="13">
        <v>757</v>
      </c>
      <c r="D19" s="13">
        <f>C19</f>
        <v>757</v>
      </c>
      <c r="F19" s="5" t="s">
        <v>27</v>
      </c>
      <c r="I19" s="70"/>
      <c r="J19" s="70"/>
      <c r="K19" s="70"/>
      <c r="L19" s="70"/>
      <c r="M19" s="70"/>
      <c r="N19" s="70"/>
      <c r="O19" s="70"/>
      <c r="P19" s="70"/>
      <c r="Q19" s="70"/>
    </row>
    <row r="20" spans="1:17">
      <c r="A20" s="8" t="s">
        <v>33</v>
      </c>
      <c r="B20" s="9" t="s">
        <v>68</v>
      </c>
      <c r="C20" s="13">
        <v>2004</v>
      </c>
      <c r="D20" s="13">
        <f>$C$16*(1+($G$3/7)*1)</f>
        <v>2265.0857142857144</v>
      </c>
    </row>
    <row r="21" spans="1:17" ht="15">
      <c r="A21" s="8" t="s">
        <v>33</v>
      </c>
      <c r="B21" s="9" t="s">
        <v>69</v>
      </c>
      <c r="C21" s="13">
        <v>341</v>
      </c>
      <c r="D21" s="13">
        <f>$C$17*(1+($G$3/7)*1)</f>
        <v>404.62857142857143</v>
      </c>
      <c r="G21" s="7" t="s">
        <v>72</v>
      </c>
    </row>
    <row r="22" spans="1:17">
      <c r="A22" s="8" t="s">
        <v>33</v>
      </c>
      <c r="B22" s="9" t="s">
        <v>70</v>
      </c>
      <c r="C22" s="13">
        <v>343</v>
      </c>
      <c r="D22" s="13">
        <f>$C$18*(1+($G$3/7)*1)</f>
        <v>354.57142857142861</v>
      </c>
    </row>
    <row r="23" spans="1:17" ht="25.5" customHeight="1">
      <c r="A23" s="8" t="s">
        <v>33</v>
      </c>
      <c r="B23" s="9" t="s">
        <v>71</v>
      </c>
      <c r="C23" s="13">
        <v>685</v>
      </c>
      <c r="D23" s="13">
        <f>$C$19*(1+($G$3/7)*1)</f>
        <v>789.44285714285718</v>
      </c>
      <c r="G23" s="19" t="s">
        <v>67</v>
      </c>
      <c r="H23" s="20" t="s">
        <v>6</v>
      </c>
      <c r="I23" s="21" t="s">
        <v>9</v>
      </c>
      <c r="J23" s="21" t="s">
        <v>11</v>
      </c>
      <c r="K23" s="21"/>
      <c r="L23" s="20"/>
    </row>
    <row r="24" spans="1:17" ht="15.75">
      <c r="A24" s="8" t="s">
        <v>40</v>
      </c>
      <c r="B24" s="9" t="s">
        <v>68</v>
      </c>
      <c r="C24" s="13">
        <v>2004</v>
      </c>
      <c r="D24" s="13">
        <f>$C$16*(1+($G$3/7)*2)</f>
        <v>2358.1714285714284</v>
      </c>
      <c r="G24" s="47" t="s">
        <v>68</v>
      </c>
      <c r="H24" s="24">
        <f>$C$16</f>
        <v>2172</v>
      </c>
      <c r="I24" s="25">
        <f>C20</f>
        <v>2004</v>
      </c>
      <c r="J24" s="25">
        <f>C24</f>
        <v>2004</v>
      </c>
      <c r="K24" s="26"/>
      <c r="L24" s="23"/>
    </row>
    <row r="25" spans="1:17" ht="15.75">
      <c r="A25" s="8" t="s">
        <v>40</v>
      </c>
      <c r="B25" s="9" t="s">
        <v>69</v>
      </c>
      <c r="C25" s="13">
        <v>221</v>
      </c>
      <c r="D25" s="13">
        <f>$C$17*(1+($G$3/7)*2)</f>
        <v>421.25714285714281</v>
      </c>
      <c r="G25" s="47" t="s">
        <v>69</v>
      </c>
      <c r="H25" s="24">
        <f>$C$17</f>
        <v>388</v>
      </c>
      <c r="I25" s="25">
        <f>C21</f>
        <v>341</v>
      </c>
      <c r="J25" s="25">
        <f>C25</f>
        <v>221</v>
      </c>
      <c r="K25" s="26"/>
      <c r="L25" s="23"/>
    </row>
    <row r="26" spans="1:17" ht="15.75">
      <c r="A26" s="8" t="s">
        <v>40</v>
      </c>
      <c r="B26" s="9" t="s">
        <v>70</v>
      </c>
      <c r="C26" s="46">
        <v>325</v>
      </c>
      <c r="D26" s="13">
        <f>$C$18*(1+($G$3/7)*2)</f>
        <v>369.14285714285711</v>
      </c>
      <c r="G26" s="47" t="s">
        <v>70</v>
      </c>
      <c r="H26" s="24">
        <f>$C$18</f>
        <v>340</v>
      </c>
      <c r="I26" s="25">
        <f>C22</f>
        <v>343</v>
      </c>
      <c r="J26" s="25">
        <f>C26</f>
        <v>325</v>
      </c>
      <c r="K26" s="26"/>
      <c r="L26" s="23"/>
    </row>
    <row r="27" spans="1:17" ht="15.75">
      <c r="A27" s="8" t="s">
        <v>40</v>
      </c>
      <c r="B27" s="9" t="s">
        <v>71</v>
      </c>
      <c r="C27" s="33">
        <v>691</v>
      </c>
      <c r="D27" s="13">
        <f>$C$19*(1+($G$3/7)*2)</f>
        <v>821.88571428571424</v>
      </c>
      <c r="G27" s="47" t="s">
        <v>71</v>
      </c>
      <c r="H27" s="24">
        <f>$C$19</f>
        <v>757</v>
      </c>
      <c r="I27" s="25">
        <f>C23</f>
        <v>685</v>
      </c>
      <c r="J27" s="25">
        <f>C27</f>
        <v>691</v>
      </c>
      <c r="K27" s="26"/>
      <c r="L27" s="23"/>
    </row>
    <row r="28" spans="1:17">
      <c r="C28" s="33"/>
      <c r="D28" s="33"/>
    </row>
    <row r="29" spans="1:17">
      <c r="C29" s="33"/>
      <c r="D29" s="33"/>
    </row>
    <row r="30" spans="1:17">
      <c r="C30" s="47"/>
      <c r="D30" s="47"/>
      <c r="E30" s="47"/>
    </row>
    <row r="31" spans="1:17" ht="15.75">
      <c r="A31" s="20"/>
    </row>
    <row r="32" spans="1:17" ht="15.75">
      <c r="A32" s="21"/>
    </row>
    <row r="33" spans="1:1" ht="15.75">
      <c r="A33" s="21"/>
    </row>
  </sheetData>
  <mergeCells count="4">
    <mergeCell ref="A12:G12"/>
    <mergeCell ref="B13:F13"/>
    <mergeCell ref="B14:F14"/>
    <mergeCell ref="I19:Q19"/>
  </mergeCells>
  <conditionalFormatting sqref="L23">
    <cfRule type="beginsWith" dxfId="3" priority="5" operator="beginsWith" text="Met">
      <formula>LEFT(L23,LEN("Met"))="Met"</formula>
    </cfRule>
    <cfRule type="beginsWith" dxfId="2" priority="6" operator="beginsWith" text="Not Met">
      <formula>LEFT(L23,LEN("Not Met"))="Not Met"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AFF2-FD57-4D3F-B1A2-641EFDE3EC20}">
  <dimension ref="A1:M60"/>
  <sheetViews>
    <sheetView topLeftCell="B1" workbookViewId="0">
      <selection activeCell="J49" sqref="J49"/>
    </sheetView>
  </sheetViews>
  <sheetFormatPr defaultColWidth="9" defaultRowHeight="14.25"/>
  <cols>
    <col min="1" max="1" width="28.375" style="6" bestFit="1" customWidth="1"/>
    <col min="2" max="3" width="33.625" style="6" bestFit="1" customWidth="1"/>
    <col min="4" max="4" width="15" style="6" bestFit="1" customWidth="1"/>
    <col min="5" max="5" width="13.375" style="6" bestFit="1" customWidth="1"/>
    <col min="6" max="6" width="13" style="6" bestFit="1" customWidth="1"/>
    <col min="7" max="7" width="12.5" style="6" bestFit="1" customWidth="1"/>
    <col min="8" max="8" width="7" style="6" bestFit="1" customWidth="1"/>
    <col min="9" max="9" width="9" style="6"/>
    <col min="10" max="10" width="24.125" style="6" bestFit="1" customWidth="1"/>
    <col min="11" max="11" width="15.125" style="6" bestFit="1" customWidth="1"/>
    <col min="12" max="12" width="7.875" style="6" bestFit="1" customWidth="1"/>
    <col min="13" max="13" width="11.375" style="6" bestFit="1" customWidth="1"/>
    <col min="14" max="16384" width="9" style="6"/>
  </cols>
  <sheetData>
    <row r="1" spans="1:13">
      <c r="A1" s="6" t="s">
        <v>73</v>
      </c>
      <c r="B1" s="6" t="s">
        <v>74</v>
      </c>
      <c r="C1" s="6" t="s">
        <v>22</v>
      </c>
      <c r="D1" s="6" t="s">
        <v>35</v>
      </c>
      <c r="E1" s="6" t="s">
        <v>36</v>
      </c>
      <c r="F1" s="6" t="s">
        <v>37</v>
      </c>
      <c r="G1" s="6" t="s">
        <v>3</v>
      </c>
      <c r="H1" s="6" t="s">
        <v>38</v>
      </c>
      <c r="J1" s="49" t="s">
        <v>75</v>
      </c>
      <c r="K1" s="49" t="s">
        <v>76</v>
      </c>
      <c r="L1"/>
      <c r="M1"/>
    </row>
    <row r="2" spans="1:13">
      <c r="A2" s="6" t="s">
        <v>77</v>
      </c>
      <c r="B2" s="6" t="s">
        <v>39</v>
      </c>
      <c r="C2" s="6" t="s">
        <v>26</v>
      </c>
      <c r="D2" s="48">
        <v>244</v>
      </c>
      <c r="E2" s="48">
        <v>275.37142857142857</v>
      </c>
      <c r="F2" s="48">
        <v>226</v>
      </c>
      <c r="G2" s="48">
        <v>-49.371428571428567</v>
      </c>
      <c r="H2" s="6" t="s">
        <v>78</v>
      </c>
      <c r="J2" s="49" t="s">
        <v>79</v>
      </c>
      <c r="K2" t="s">
        <v>80</v>
      </c>
      <c r="L2" t="s">
        <v>78</v>
      </c>
      <c r="M2" t="s">
        <v>81</v>
      </c>
    </row>
    <row r="3" spans="1:13">
      <c r="A3" s="6" t="s">
        <v>82</v>
      </c>
      <c r="B3" s="6" t="s">
        <v>39</v>
      </c>
      <c r="C3" s="6" t="s">
        <v>26</v>
      </c>
      <c r="D3" s="48">
        <v>246</v>
      </c>
      <c r="E3" s="48">
        <v>277.62857142857143</v>
      </c>
      <c r="F3" s="48">
        <v>262</v>
      </c>
      <c r="G3" s="48">
        <v>-15.628571428571433</v>
      </c>
      <c r="H3" s="6" t="s">
        <v>78</v>
      </c>
      <c r="J3" s="6" t="s">
        <v>26</v>
      </c>
      <c r="K3">
        <v>1</v>
      </c>
      <c r="L3">
        <v>5</v>
      </c>
      <c r="M3">
        <v>6</v>
      </c>
    </row>
    <row r="4" spans="1:13">
      <c r="A4" s="6" t="s">
        <v>83</v>
      </c>
      <c r="B4" s="6" t="s">
        <v>39</v>
      </c>
      <c r="C4" s="6" t="s">
        <v>26</v>
      </c>
      <c r="D4" s="48">
        <v>494</v>
      </c>
      <c r="E4" s="48">
        <v>557.51428571428573</v>
      </c>
      <c r="F4" s="48">
        <v>531</v>
      </c>
      <c r="G4" s="48">
        <v>-26.514285714285734</v>
      </c>
      <c r="H4" s="6" t="s">
        <v>78</v>
      </c>
      <c r="J4" s="6" t="s">
        <v>41</v>
      </c>
      <c r="K4">
        <v>3</v>
      </c>
      <c r="L4">
        <v>3</v>
      </c>
      <c r="M4">
        <v>6</v>
      </c>
    </row>
    <row r="5" spans="1:13">
      <c r="A5" s="6" t="s">
        <v>84</v>
      </c>
      <c r="B5" s="6" t="s">
        <v>39</v>
      </c>
      <c r="C5" s="6" t="s">
        <v>26</v>
      </c>
      <c r="D5" s="6">
        <v>247</v>
      </c>
      <c r="E5" s="6">
        <v>278.75714285714287</v>
      </c>
      <c r="F5" s="6">
        <v>339</v>
      </c>
      <c r="G5" s="6">
        <v>60.242857142857133</v>
      </c>
      <c r="H5" s="6" t="s">
        <v>80</v>
      </c>
      <c r="J5" s="6" t="s">
        <v>44</v>
      </c>
      <c r="K5">
        <v>2</v>
      </c>
      <c r="L5">
        <v>4</v>
      </c>
      <c r="M5">
        <v>6</v>
      </c>
    </row>
    <row r="6" spans="1:13">
      <c r="A6" s="6" t="s">
        <v>60</v>
      </c>
      <c r="B6" s="6" t="s">
        <v>39</v>
      </c>
      <c r="C6" s="6" t="s">
        <v>26</v>
      </c>
      <c r="D6" s="6">
        <v>1029</v>
      </c>
      <c r="E6" s="6">
        <v>1161.3</v>
      </c>
      <c r="F6" s="6">
        <v>953</v>
      </c>
      <c r="G6" s="6">
        <v>-208.29999999999995</v>
      </c>
      <c r="H6" s="6" t="s">
        <v>78</v>
      </c>
      <c r="J6" s="6" t="s">
        <v>49</v>
      </c>
      <c r="K6">
        <v>1</v>
      </c>
      <c r="L6">
        <v>5</v>
      </c>
      <c r="M6">
        <v>6</v>
      </c>
    </row>
    <row r="7" spans="1:13">
      <c r="A7" s="6" t="s">
        <v>85</v>
      </c>
      <c r="B7" s="6" t="s">
        <v>39</v>
      </c>
      <c r="C7" s="6" t="s">
        <v>26</v>
      </c>
      <c r="D7" s="6">
        <v>431</v>
      </c>
      <c r="E7" s="6">
        <v>467.94285714285712</v>
      </c>
      <c r="F7" s="6">
        <v>323</v>
      </c>
      <c r="G7" s="6">
        <v>-144.94285714285712</v>
      </c>
      <c r="H7" s="6" t="s">
        <v>78</v>
      </c>
      <c r="J7" s="6" t="s">
        <v>29</v>
      </c>
      <c r="K7">
        <v>2</v>
      </c>
      <c r="L7">
        <v>4</v>
      </c>
      <c r="M7">
        <v>6</v>
      </c>
    </row>
    <row r="8" spans="1:13">
      <c r="A8" s="6" t="s">
        <v>77</v>
      </c>
      <c r="B8" s="6" t="s">
        <v>39</v>
      </c>
      <c r="C8" s="6" t="s">
        <v>41</v>
      </c>
      <c r="D8" s="48">
        <v>54</v>
      </c>
      <c r="E8" s="48">
        <v>60.942857142857143</v>
      </c>
      <c r="F8" s="48">
        <v>66</v>
      </c>
      <c r="G8" s="48">
        <v>5.0571428571428569</v>
      </c>
      <c r="H8" s="6" t="s">
        <v>80</v>
      </c>
      <c r="J8" s="6" t="s">
        <v>45</v>
      </c>
      <c r="K8">
        <v>2</v>
      </c>
      <c r="L8">
        <v>4</v>
      </c>
      <c r="M8">
        <v>6</v>
      </c>
    </row>
    <row r="9" spans="1:13">
      <c r="A9" s="6" t="s">
        <v>82</v>
      </c>
      <c r="B9" s="6" t="s">
        <v>39</v>
      </c>
      <c r="C9" s="6" t="s">
        <v>41</v>
      </c>
      <c r="D9" s="48">
        <v>35</v>
      </c>
      <c r="E9" s="48">
        <v>39.5</v>
      </c>
      <c r="F9" s="48">
        <v>40</v>
      </c>
      <c r="G9" s="48">
        <v>0.5</v>
      </c>
      <c r="H9" s="6" t="s">
        <v>80</v>
      </c>
      <c r="J9" s="6" t="s">
        <v>30</v>
      </c>
      <c r="K9">
        <v>4</v>
      </c>
      <c r="L9">
        <v>2</v>
      </c>
      <c r="M9">
        <v>6</v>
      </c>
    </row>
    <row r="10" spans="1:13">
      <c r="A10" s="6" t="s">
        <v>83</v>
      </c>
      <c r="B10" s="6" t="s">
        <v>39</v>
      </c>
      <c r="C10" s="6" t="s">
        <v>41</v>
      </c>
      <c r="D10" s="48">
        <v>76</v>
      </c>
      <c r="E10" s="48">
        <v>85.771428571428572</v>
      </c>
      <c r="F10" s="48">
        <v>85</v>
      </c>
      <c r="G10" s="48">
        <v>-0.77142857142857224</v>
      </c>
      <c r="H10" s="6" t="s">
        <v>78</v>
      </c>
      <c r="J10" s="6" t="s">
        <v>46</v>
      </c>
      <c r="K10">
        <v>5</v>
      </c>
      <c r="L10"/>
      <c r="M10">
        <v>5</v>
      </c>
    </row>
    <row r="11" spans="1:13">
      <c r="A11" s="6" t="s">
        <v>84</v>
      </c>
      <c r="B11" s="6" t="s">
        <v>39</v>
      </c>
      <c r="C11" s="6" t="s">
        <v>41</v>
      </c>
      <c r="D11" s="6">
        <v>20</v>
      </c>
      <c r="E11" s="6">
        <v>22.571428571428569</v>
      </c>
      <c r="F11" s="6">
        <v>24</v>
      </c>
      <c r="G11" s="6">
        <v>1.4285714285714306</v>
      </c>
      <c r="H11" s="6" t="s">
        <v>80</v>
      </c>
      <c r="J11" s="6" t="s">
        <v>50</v>
      </c>
      <c r="K11">
        <v>3</v>
      </c>
      <c r="L11">
        <v>3</v>
      </c>
      <c r="M11">
        <v>6</v>
      </c>
    </row>
    <row r="12" spans="1:13">
      <c r="A12" s="6" t="s">
        <v>60</v>
      </c>
      <c r="B12" s="6" t="s">
        <v>39</v>
      </c>
      <c r="C12" s="6" t="s">
        <v>41</v>
      </c>
      <c r="D12" s="6">
        <v>104</v>
      </c>
      <c r="E12" s="6">
        <v>117.37142857142857</v>
      </c>
      <c r="F12" s="6">
        <v>113</v>
      </c>
      <c r="G12" s="6">
        <v>-4.3714285714285666</v>
      </c>
      <c r="H12" s="6" t="s">
        <v>78</v>
      </c>
      <c r="J12" s="6" t="s">
        <v>32</v>
      </c>
      <c r="K12">
        <v>1</v>
      </c>
      <c r="L12">
        <v>5</v>
      </c>
      <c r="M12">
        <v>6</v>
      </c>
    </row>
    <row r="13" spans="1:13">
      <c r="A13" s="6" t="s">
        <v>85</v>
      </c>
      <c r="B13" s="6" t="s">
        <v>39</v>
      </c>
      <c r="C13" s="6" t="s">
        <v>41</v>
      </c>
      <c r="D13" s="6">
        <v>63</v>
      </c>
      <c r="E13" s="6">
        <v>68.399999999999991</v>
      </c>
      <c r="F13" s="6">
        <v>41</v>
      </c>
      <c r="G13" s="6">
        <v>-27.399999999999991</v>
      </c>
      <c r="H13" s="6" t="s">
        <v>78</v>
      </c>
      <c r="J13" s="6" t="s">
        <v>81</v>
      </c>
      <c r="K13">
        <v>24</v>
      </c>
      <c r="L13">
        <v>35</v>
      </c>
      <c r="M13">
        <v>59</v>
      </c>
    </row>
    <row r="14" spans="1:13">
      <c r="A14" s="6" t="s">
        <v>77</v>
      </c>
      <c r="B14" s="6" t="s">
        <v>43</v>
      </c>
      <c r="C14" s="6" t="s">
        <v>44</v>
      </c>
      <c r="D14" s="48">
        <v>955</v>
      </c>
      <c r="E14" s="48">
        <v>1077.7857142857142</v>
      </c>
      <c r="F14" s="48">
        <v>1099</v>
      </c>
      <c r="G14" s="48">
        <v>21.214285714285779</v>
      </c>
      <c r="H14" s="6" t="s">
        <v>80</v>
      </c>
      <c r="J14"/>
      <c r="K14"/>
      <c r="L14"/>
      <c r="M14"/>
    </row>
    <row r="15" spans="1:13">
      <c r="A15" s="6" t="s">
        <v>82</v>
      </c>
      <c r="B15" s="6" t="s">
        <v>43</v>
      </c>
      <c r="C15" s="6" t="s">
        <v>44</v>
      </c>
      <c r="D15" s="48">
        <v>908</v>
      </c>
      <c r="E15" s="48">
        <v>1024.742857142857</v>
      </c>
      <c r="F15" s="48">
        <v>964</v>
      </c>
      <c r="G15" s="48">
        <v>-60.742857142857019</v>
      </c>
      <c r="H15" s="6" t="s">
        <v>78</v>
      </c>
      <c r="J15"/>
    </row>
    <row r="16" spans="1:13">
      <c r="A16" s="6" t="s">
        <v>83</v>
      </c>
      <c r="B16" s="6" t="s">
        <v>43</v>
      </c>
      <c r="C16" s="6" t="s">
        <v>44</v>
      </c>
      <c r="D16" s="48">
        <v>1617</v>
      </c>
      <c r="E16" s="48">
        <v>1824.9</v>
      </c>
      <c r="F16" s="48">
        <v>1747</v>
      </c>
      <c r="G16" s="48">
        <v>-77.900000000000091</v>
      </c>
      <c r="H16" s="6" t="s">
        <v>78</v>
      </c>
      <c r="J16" s="49" t="s">
        <v>79</v>
      </c>
      <c r="K16" t="s">
        <v>86</v>
      </c>
      <c r="L16"/>
      <c r="M16"/>
    </row>
    <row r="17" spans="1:13">
      <c r="A17" s="6" t="s">
        <v>84</v>
      </c>
      <c r="B17" s="6" t="s">
        <v>43</v>
      </c>
      <c r="C17" s="6" t="s">
        <v>44</v>
      </c>
      <c r="D17" s="6">
        <v>781</v>
      </c>
      <c r="E17" s="6">
        <v>881.41428571428571</v>
      </c>
      <c r="F17" s="6">
        <v>946</v>
      </c>
      <c r="G17" s="6">
        <v>64.585714285714289</v>
      </c>
      <c r="H17" s="6" t="s">
        <v>80</v>
      </c>
      <c r="J17" s="6" t="s">
        <v>26</v>
      </c>
      <c r="K17">
        <v>-384.51428571428568</v>
      </c>
      <c r="L17"/>
      <c r="M17"/>
    </row>
    <row r="18" spans="1:13">
      <c r="A18" s="6" t="s">
        <v>60</v>
      </c>
      <c r="B18" s="6" t="s">
        <v>43</v>
      </c>
      <c r="C18" s="6" t="s">
        <v>44</v>
      </c>
      <c r="D18" s="6">
        <v>2693</v>
      </c>
      <c r="E18" s="6">
        <v>3039.2428571428572</v>
      </c>
      <c r="F18" s="6">
        <v>2873</v>
      </c>
      <c r="G18" s="6">
        <v>-166.24285714285725</v>
      </c>
      <c r="H18" s="6" t="s">
        <v>78</v>
      </c>
      <c r="J18" s="6" t="s">
        <v>41</v>
      </c>
      <c r="K18">
        <v>-25.557142857142843</v>
      </c>
      <c r="L18"/>
      <c r="M18"/>
    </row>
    <row r="19" spans="1:13">
      <c r="A19" s="6" t="s">
        <v>85</v>
      </c>
      <c r="B19" s="6" t="s">
        <v>43</v>
      </c>
      <c r="C19" s="6" t="s">
        <v>44</v>
      </c>
      <c r="D19" s="6">
        <v>1054</v>
      </c>
      <c r="E19" s="6">
        <v>1144.3428571428572</v>
      </c>
      <c r="F19" s="6">
        <v>822</v>
      </c>
      <c r="G19" s="6">
        <v>-322.34285714285716</v>
      </c>
      <c r="H19" s="6" t="s">
        <v>78</v>
      </c>
      <c r="J19" s="6" t="s">
        <v>44</v>
      </c>
      <c r="K19">
        <v>-541.42857142857144</v>
      </c>
      <c r="L19"/>
      <c r="M19"/>
    </row>
    <row r="20" spans="1:13">
      <c r="A20" s="6" t="s">
        <v>77</v>
      </c>
      <c r="B20" s="6" t="s">
        <v>48</v>
      </c>
      <c r="C20" s="6" t="s">
        <v>49</v>
      </c>
      <c r="D20" s="48">
        <v>627</v>
      </c>
      <c r="E20" s="48">
        <v>707.61428571428576</v>
      </c>
      <c r="F20" s="48">
        <v>676</v>
      </c>
      <c r="G20" s="48">
        <v>-31.614285714285757</v>
      </c>
      <c r="H20" s="6" t="s">
        <v>78</v>
      </c>
      <c r="J20" s="6" t="s">
        <v>49</v>
      </c>
      <c r="K20">
        <v>-582.52857142857147</v>
      </c>
      <c r="L20"/>
      <c r="M20"/>
    </row>
    <row r="21" spans="1:13">
      <c r="A21" s="6" t="s">
        <v>82</v>
      </c>
      <c r="B21" s="6" t="s">
        <v>48</v>
      </c>
      <c r="C21" s="6" t="s">
        <v>49</v>
      </c>
      <c r="D21" s="48">
        <v>588</v>
      </c>
      <c r="E21" s="48">
        <v>663.6</v>
      </c>
      <c r="F21" s="48">
        <v>551</v>
      </c>
      <c r="G21" s="48">
        <v>-112.60000000000002</v>
      </c>
      <c r="H21" s="6" t="s">
        <v>78</v>
      </c>
      <c r="J21" s="6" t="s">
        <v>29</v>
      </c>
      <c r="K21">
        <v>-228.97142857142876</v>
      </c>
      <c r="L21"/>
      <c r="M21"/>
    </row>
    <row r="22" spans="1:13">
      <c r="A22" s="6" t="s">
        <v>83</v>
      </c>
      <c r="B22" s="6" t="s">
        <v>48</v>
      </c>
      <c r="C22" s="6" t="s">
        <v>49</v>
      </c>
      <c r="D22" s="48">
        <v>1038</v>
      </c>
      <c r="E22" s="48">
        <v>1171.4571428571428</v>
      </c>
      <c r="F22" s="48">
        <v>1096</v>
      </c>
      <c r="G22" s="48">
        <v>-75.457142857142799</v>
      </c>
      <c r="H22" s="6" t="s">
        <v>78</v>
      </c>
      <c r="J22" s="6" t="s">
        <v>45</v>
      </c>
      <c r="K22">
        <v>-323.7714285714286</v>
      </c>
      <c r="L22"/>
      <c r="M22"/>
    </row>
    <row r="23" spans="1:13">
      <c r="A23" s="6" t="s">
        <v>84</v>
      </c>
      <c r="B23" s="6" t="s">
        <v>48</v>
      </c>
      <c r="C23" s="6" t="s">
        <v>49</v>
      </c>
      <c r="D23" s="6">
        <v>332</v>
      </c>
      <c r="E23" s="6">
        <v>374.68571428571425</v>
      </c>
      <c r="F23" s="6">
        <v>429</v>
      </c>
      <c r="G23" s="6">
        <v>54.314285714285745</v>
      </c>
      <c r="H23" s="6" t="s">
        <v>80</v>
      </c>
      <c r="J23" s="6" t="s">
        <v>30</v>
      </c>
      <c r="K23">
        <v>331.14285714285717</v>
      </c>
      <c r="L23"/>
      <c r="M23"/>
    </row>
    <row r="24" spans="1:13">
      <c r="A24" s="6" t="s">
        <v>60</v>
      </c>
      <c r="B24" s="6" t="s">
        <v>48</v>
      </c>
      <c r="C24" s="6" t="s">
        <v>49</v>
      </c>
      <c r="D24" s="6">
        <v>1828</v>
      </c>
      <c r="E24" s="6">
        <v>2063.0285714285715</v>
      </c>
      <c r="F24" s="6">
        <v>1824</v>
      </c>
      <c r="G24" s="6">
        <v>-239.02857142857147</v>
      </c>
      <c r="H24" s="6" t="s">
        <v>78</v>
      </c>
      <c r="J24" s="6" t="s">
        <v>46</v>
      </c>
      <c r="K24">
        <v>77.571428571428584</v>
      </c>
      <c r="L24"/>
      <c r="M24"/>
    </row>
    <row r="25" spans="1:13">
      <c r="A25" s="6" t="s">
        <v>85</v>
      </c>
      <c r="B25" s="6" t="s">
        <v>48</v>
      </c>
      <c r="C25" s="6" t="s">
        <v>49</v>
      </c>
      <c r="D25" s="6">
        <v>585</v>
      </c>
      <c r="E25" s="6">
        <v>635.14285714285711</v>
      </c>
      <c r="F25" s="6">
        <v>457</v>
      </c>
      <c r="G25" s="6">
        <v>-178.14285714285711</v>
      </c>
      <c r="H25" s="6" t="s">
        <v>78</v>
      </c>
      <c r="J25" s="6" t="s">
        <v>50</v>
      </c>
      <c r="K25">
        <v>-306.84285714285693</v>
      </c>
      <c r="L25"/>
    </row>
    <row r="26" spans="1:13">
      <c r="A26" s="6" t="s">
        <v>77</v>
      </c>
      <c r="B26" s="6" t="s">
        <v>39</v>
      </c>
      <c r="C26" s="6" t="s">
        <v>29</v>
      </c>
      <c r="D26" s="48">
        <v>928</v>
      </c>
      <c r="E26" s="48">
        <v>1047.3142857142857</v>
      </c>
      <c r="F26" s="48">
        <v>1116</v>
      </c>
      <c r="G26" s="48">
        <v>68.685714285714312</v>
      </c>
      <c r="H26" s="6" t="s">
        <v>80</v>
      </c>
      <c r="J26" s="6" t="s">
        <v>32</v>
      </c>
      <c r="K26">
        <v>-324.17142857142852</v>
      </c>
      <c r="L26"/>
    </row>
    <row r="27" spans="1:13">
      <c r="A27" s="6" t="s">
        <v>82</v>
      </c>
      <c r="B27" s="6" t="s">
        <v>39</v>
      </c>
      <c r="C27" s="6" t="s">
        <v>29</v>
      </c>
      <c r="D27" s="48">
        <v>930</v>
      </c>
      <c r="E27" s="48">
        <v>1049.5714285714287</v>
      </c>
      <c r="F27" s="48">
        <v>970</v>
      </c>
      <c r="G27" s="48">
        <v>-79.571428571428669</v>
      </c>
      <c r="H27" s="6" t="s">
        <v>78</v>
      </c>
      <c r="J27" s="6" t="s">
        <v>81</v>
      </c>
      <c r="K27">
        <v>-2309.0714285714284</v>
      </c>
      <c r="L27"/>
    </row>
    <row r="28" spans="1:13">
      <c r="A28" s="6" t="s">
        <v>83</v>
      </c>
      <c r="B28" s="6" t="s">
        <v>39</v>
      </c>
      <c r="C28" s="6" t="s">
        <v>29</v>
      </c>
      <c r="D28" s="48">
        <v>1611</v>
      </c>
      <c r="E28" s="48">
        <v>1818.1285714285714</v>
      </c>
      <c r="F28" s="48">
        <v>1755</v>
      </c>
      <c r="G28" s="48">
        <v>-63.128571428571377</v>
      </c>
      <c r="H28" s="6" t="s">
        <v>78</v>
      </c>
      <c r="J28"/>
      <c r="K28"/>
      <c r="L28"/>
    </row>
    <row r="29" spans="1:13" ht="15">
      <c r="A29" s="6" t="s">
        <v>84</v>
      </c>
      <c r="B29" s="6" t="s">
        <v>39</v>
      </c>
      <c r="C29" s="6" t="s">
        <v>29</v>
      </c>
      <c r="D29" s="6">
        <v>518</v>
      </c>
      <c r="E29" s="6">
        <v>584.6</v>
      </c>
      <c r="F29" s="6">
        <v>652</v>
      </c>
      <c r="G29" s="6">
        <v>67.399999999999977</v>
      </c>
      <c r="H29" s="6" t="s">
        <v>80</v>
      </c>
      <c r="J29"/>
      <c r="K29"/>
      <c r="L29"/>
      <c r="M29" s="51"/>
    </row>
    <row r="30" spans="1:13">
      <c r="A30" s="6" t="s">
        <v>60</v>
      </c>
      <c r="B30" s="6" t="s">
        <v>39</v>
      </c>
      <c r="C30" s="6" t="s">
        <v>29</v>
      </c>
      <c r="D30" s="6">
        <v>2779</v>
      </c>
      <c r="E30" s="6">
        <v>3136.3</v>
      </c>
      <c r="F30" s="6">
        <v>3127</v>
      </c>
      <c r="G30" s="6">
        <v>-9.3000000000001819</v>
      </c>
      <c r="H30" s="6" t="s">
        <v>78</v>
      </c>
      <c r="J30" t="s">
        <v>87</v>
      </c>
      <c r="K30" t="s">
        <v>3</v>
      </c>
      <c r="L30"/>
      <c r="M30" s="50"/>
    </row>
    <row r="31" spans="1:13">
      <c r="A31" s="6" t="s">
        <v>85</v>
      </c>
      <c r="B31" s="6" t="s">
        <v>39</v>
      </c>
      <c r="C31" s="6" t="s">
        <v>29</v>
      </c>
      <c r="D31" s="6">
        <v>899</v>
      </c>
      <c r="E31" s="6">
        <v>976.05714285714282</v>
      </c>
      <c r="F31" s="6">
        <v>763</v>
      </c>
      <c r="G31" s="6">
        <v>-213.05714285714282</v>
      </c>
      <c r="H31" s="6" t="s">
        <v>78</v>
      </c>
      <c r="J31" s="52" t="s">
        <v>49</v>
      </c>
      <c r="K31" s="54">
        <v>-582.52857142857147</v>
      </c>
      <c r="L31"/>
      <c r="M31" s="50"/>
    </row>
    <row r="32" spans="1:13">
      <c r="A32" s="6" t="s">
        <v>77</v>
      </c>
      <c r="B32" s="6" t="s">
        <v>43</v>
      </c>
      <c r="C32" s="6" t="s">
        <v>45</v>
      </c>
      <c r="D32" s="48">
        <v>629</v>
      </c>
      <c r="E32" s="48">
        <v>709.87142857142851</v>
      </c>
      <c r="F32" s="48">
        <v>776</v>
      </c>
      <c r="G32" s="48">
        <v>66.12857142857149</v>
      </c>
      <c r="H32" s="6" t="s">
        <v>80</v>
      </c>
      <c r="J32" t="s">
        <v>44</v>
      </c>
      <c r="K32" s="55">
        <v>-541.42857142857144</v>
      </c>
      <c r="L32"/>
      <c r="M32" s="50"/>
    </row>
    <row r="33" spans="1:13">
      <c r="A33" s="6" t="s">
        <v>82</v>
      </c>
      <c r="B33" s="6" t="s">
        <v>43</v>
      </c>
      <c r="C33" s="6" t="s">
        <v>45</v>
      </c>
      <c r="D33" s="48">
        <v>621</v>
      </c>
      <c r="E33" s="48">
        <v>700.84285714285716</v>
      </c>
      <c r="F33" s="48">
        <v>661</v>
      </c>
      <c r="G33" s="48">
        <v>-39.842857142857156</v>
      </c>
      <c r="H33" s="6" t="s">
        <v>78</v>
      </c>
      <c r="J33" t="s">
        <v>26</v>
      </c>
      <c r="K33" s="55">
        <v>-384.51428571428568</v>
      </c>
      <c r="L33"/>
      <c r="M33" s="50"/>
    </row>
    <row r="34" spans="1:13">
      <c r="A34" s="6" t="s">
        <v>83</v>
      </c>
      <c r="B34" s="6" t="s">
        <v>43</v>
      </c>
      <c r="C34" s="6" t="s">
        <v>45</v>
      </c>
      <c r="D34" s="48">
        <v>1198</v>
      </c>
      <c r="E34" s="48">
        <v>1352.0285714285715</v>
      </c>
      <c r="F34" s="48">
        <v>1313</v>
      </c>
      <c r="G34" s="48">
        <v>-39.028571428571468</v>
      </c>
      <c r="H34" s="6" t="s">
        <v>78</v>
      </c>
      <c r="J34" s="6" t="s">
        <v>32</v>
      </c>
      <c r="K34" s="55">
        <v>-324.17142857142852</v>
      </c>
      <c r="L34" s="50"/>
      <c r="M34" s="50"/>
    </row>
    <row r="35" spans="1:13">
      <c r="A35" s="6" t="s">
        <v>84</v>
      </c>
      <c r="B35" s="6" t="s">
        <v>43</v>
      </c>
      <c r="C35" s="6" t="s">
        <v>45</v>
      </c>
      <c r="D35" s="6">
        <v>193</v>
      </c>
      <c r="E35" s="6">
        <v>217.81428571428572</v>
      </c>
      <c r="F35" s="6">
        <v>277</v>
      </c>
      <c r="G35" s="6">
        <v>59.185714285714283</v>
      </c>
      <c r="H35" s="6" t="s">
        <v>80</v>
      </c>
      <c r="J35" s="52" t="s">
        <v>45</v>
      </c>
      <c r="K35" s="54">
        <v>-323.7714285714286</v>
      </c>
      <c r="L35" s="50"/>
      <c r="M35" s="50"/>
    </row>
    <row r="36" spans="1:13" ht="28.5">
      <c r="A36" s="6" t="s">
        <v>60</v>
      </c>
      <c r="B36" s="6" t="s">
        <v>43</v>
      </c>
      <c r="C36" s="6" t="s">
        <v>45</v>
      </c>
      <c r="D36" s="6">
        <v>2387</v>
      </c>
      <c r="E36" s="6">
        <v>2693.9</v>
      </c>
      <c r="F36" s="6">
        <v>2570</v>
      </c>
      <c r="G36" s="6">
        <v>-123.90000000000009</v>
      </c>
      <c r="H36" s="6" t="s">
        <v>78</v>
      </c>
      <c r="J36" s="52" t="s">
        <v>50</v>
      </c>
      <c r="K36" s="54">
        <v>-306.84285714285693</v>
      </c>
      <c r="L36" s="50"/>
      <c r="M36" s="50"/>
    </row>
    <row r="37" spans="1:13">
      <c r="A37" s="6" t="s">
        <v>85</v>
      </c>
      <c r="B37" s="6" t="s">
        <v>43</v>
      </c>
      <c r="C37" s="6" t="s">
        <v>45</v>
      </c>
      <c r="D37" s="6">
        <v>832</v>
      </c>
      <c r="E37" s="6">
        <v>903.31428571428569</v>
      </c>
      <c r="F37" s="6">
        <v>657</v>
      </c>
      <c r="G37" s="6">
        <v>-246.31428571428569</v>
      </c>
      <c r="H37" s="6" t="s">
        <v>78</v>
      </c>
      <c r="J37" s="52" t="s">
        <v>29</v>
      </c>
      <c r="K37" s="54">
        <v>-228.97142857142876</v>
      </c>
      <c r="L37" s="50"/>
      <c r="M37" s="50"/>
    </row>
    <row r="38" spans="1:13">
      <c r="A38" s="6" t="s">
        <v>77</v>
      </c>
      <c r="B38" s="6" t="s">
        <v>39</v>
      </c>
      <c r="C38" s="6" t="s">
        <v>30</v>
      </c>
      <c r="D38" s="48">
        <v>139</v>
      </c>
      <c r="E38" s="48">
        <v>156.87142857142857</v>
      </c>
      <c r="F38" s="48">
        <v>238</v>
      </c>
      <c r="G38" s="48">
        <v>81.128571428571433</v>
      </c>
      <c r="H38" s="6" t="s">
        <v>80</v>
      </c>
      <c r="J38" t="s">
        <v>41</v>
      </c>
      <c r="K38" s="55">
        <v>-25.557142857142843</v>
      </c>
      <c r="L38" s="50"/>
      <c r="M38" s="50"/>
    </row>
    <row r="39" spans="1:13">
      <c r="A39" s="6" t="s">
        <v>82</v>
      </c>
      <c r="B39" s="6" t="s">
        <v>39</v>
      </c>
      <c r="C39" s="6" t="s">
        <v>30</v>
      </c>
      <c r="D39" s="48">
        <v>128</v>
      </c>
      <c r="E39" s="48">
        <v>144.45714285714286</v>
      </c>
      <c r="F39" s="48">
        <v>191</v>
      </c>
      <c r="G39" s="48">
        <v>46.542857142857144</v>
      </c>
      <c r="H39" s="6" t="s">
        <v>80</v>
      </c>
      <c r="J39" s="52" t="s">
        <v>46</v>
      </c>
      <c r="K39" s="53">
        <v>77.571428571428584</v>
      </c>
      <c r="L39" s="50"/>
      <c r="M39" s="50"/>
    </row>
    <row r="40" spans="1:13">
      <c r="A40" s="6" t="s">
        <v>83</v>
      </c>
      <c r="B40" s="6" t="s">
        <v>39</v>
      </c>
      <c r="C40" s="6" t="s">
        <v>30</v>
      </c>
      <c r="D40" s="48">
        <v>271</v>
      </c>
      <c r="E40" s="48">
        <v>305.84285714285716</v>
      </c>
      <c r="F40" s="48">
        <v>357</v>
      </c>
      <c r="G40" s="48">
        <v>51.157142857142844</v>
      </c>
      <c r="H40" s="6" t="s">
        <v>80</v>
      </c>
      <c r="J40" s="52" t="s">
        <v>30</v>
      </c>
      <c r="K40" s="53">
        <v>331.14285714285717</v>
      </c>
    </row>
    <row r="41" spans="1:13">
      <c r="A41" s="6" t="s">
        <v>84</v>
      </c>
      <c r="B41" s="6" t="s">
        <v>39</v>
      </c>
      <c r="C41" s="6" t="s">
        <v>30</v>
      </c>
      <c r="D41" s="6">
        <v>62</v>
      </c>
      <c r="E41" s="6">
        <v>69.971428571428575</v>
      </c>
      <c r="F41" s="6">
        <v>59</v>
      </c>
      <c r="G41" s="6">
        <v>-10.971428571428575</v>
      </c>
      <c r="H41" s="6" t="s">
        <v>78</v>
      </c>
    </row>
    <row r="42" spans="1:13">
      <c r="A42" s="6" t="s">
        <v>60</v>
      </c>
      <c r="B42" s="6" t="s">
        <v>39</v>
      </c>
      <c r="C42" s="6" t="s">
        <v>30</v>
      </c>
      <c r="D42" s="6">
        <v>530</v>
      </c>
      <c r="E42" s="6">
        <v>598.14285714285711</v>
      </c>
      <c r="F42" s="6">
        <v>775</v>
      </c>
      <c r="G42" s="6">
        <v>176.85714285714289</v>
      </c>
      <c r="H42" s="6" t="s">
        <v>80</v>
      </c>
    </row>
    <row r="43" spans="1:13">
      <c r="A43" s="6" t="s">
        <v>85</v>
      </c>
      <c r="B43" s="6" t="s">
        <v>39</v>
      </c>
      <c r="C43" s="6" t="s">
        <v>30</v>
      </c>
      <c r="D43" s="6">
        <v>170</v>
      </c>
      <c r="E43" s="6">
        <v>184.57142857142856</v>
      </c>
      <c r="F43" s="6">
        <v>171</v>
      </c>
      <c r="G43" s="6">
        <v>-13.571428571428555</v>
      </c>
      <c r="H43" s="6" t="s">
        <v>78</v>
      </c>
    </row>
    <row r="44" spans="1:13">
      <c r="A44" s="6" t="s">
        <v>77</v>
      </c>
      <c r="B44" s="6" t="s">
        <v>43</v>
      </c>
      <c r="C44" s="6" t="s">
        <v>46</v>
      </c>
      <c r="D44" s="48">
        <v>18</v>
      </c>
      <c r="E44" s="48">
        <v>20.314285714285713</v>
      </c>
      <c r="F44" s="48">
        <v>36</v>
      </c>
      <c r="G44" s="48">
        <v>15.685714285714287</v>
      </c>
      <c r="H44" s="6" t="s">
        <v>80</v>
      </c>
    </row>
    <row r="45" spans="1:13">
      <c r="A45" s="6" t="s">
        <v>82</v>
      </c>
      <c r="B45" s="6" t="s">
        <v>43</v>
      </c>
      <c r="C45" s="6" t="s">
        <v>46</v>
      </c>
      <c r="D45" s="48">
        <v>28</v>
      </c>
      <c r="E45" s="48">
        <v>31.6</v>
      </c>
      <c r="F45" s="48">
        <v>42</v>
      </c>
      <c r="G45" s="48">
        <v>10.399999999999999</v>
      </c>
      <c r="H45" s="6" t="s">
        <v>80</v>
      </c>
    </row>
    <row r="46" spans="1:13">
      <c r="A46" s="6" t="s">
        <v>83</v>
      </c>
      <c r="B46" s="6" t="s">
        <v>43</v>
      </c>
      <c r="C46" s="6" t="s">
        <v>46</v>
      </c>
      <c r="D46" s="48">
        <v>45</v>
      </c>
      <c r="E46" s="48">
        <v>50.785714285714285</v>
      </c>
      <c r="F46" s="48">
        <v>62</v>
      </c>
      <c r="G46" s="48">
        <v>11.214285714285715</v>
      </c>
      <c r="H46" s="6" t="s">
        <v>80</v>
      </c>
    </row>
    <row r="47" spans="1:13">
      <c r="A47" s="6" t="s">
        <v>60</v>
      </c>
      <c r="B47" s="6" t="s">
        <v>43</v>
      </c>
      <c r="C47" s="6" t="s">
        <v>46</v>
      </c>
      <c r="D47" s="6">
        <v>63</v>
      </c>
      <c r="E47" s="6">
        <v>71.099999999999994</v>
      </c>
      <c r="F47" s="6">
        <v>110</v>
      </c>
      <c r="G47" s="6">
        <v>38.900000000000006</v>
      </c>
      <c r="H47" s="6" t="s">
        <v>80</v>
      </c>
    </row>
    <row r="48" spans="1:13">
      <c r="A48" s="6" t="s">
        <v>85</v>
      </c>
      <c r="B48" s="6" t="s">
        <v>43</v>
      </c>
      <c r="C48" s="6" t="s">
        <v>46</v>
      </c>
      <c r="D48" s="6">
        <v>19</v>
      </c>
      <c r="E48" s="6">
        <v>20.628571428571426</v>
      </c>
      <c r="F48" s="6">
        <v>22</v>
      </c>
      <c r="G48" s="6">
        <v>1.3714285714285737</v>
      </c>
      <c r="H48" s="6" t="s">
        <v>80</v>
      </c>
    </row>
    <row r="49" spans="1:8">
      <c r="A49" s="6" t="s">
        <v>77</v>
      </c>
      <c r="B49" s="6" t="s">
        <v>48</v>
      </c>
      <c r="C49" s="6" t="s">
        <v>50</v>
      </c>
      <c r="D49" s="48">
        <v>924</v>
      </c>
      <c r="E49" s="48">
        <v>1042.8</v>
      </c>
      <c r="F49" s="48">
        <v>1154</v>
      </c>
      <c r="G49" s="48">
        <v>111.20000000000005</v>
      </c>
      <c r="H49" s="6" t="s">
        <v>80</v>
      </c>
    </row>
    <row r="50" spans="1:8">
      <c r="A50" s="6" t="s">
        <v>82</v>
      </c>
      <c r="B50" s="6" t="s">
        <v>48</v>
      </c>
      <c r="C50" s="6" t="s">
        <v>50</v>
      </c>
      <c r="D50" s="48">
        <v>936</v>
      </c>
      <c r="E50" s="48">
        <v>1056.3428571428572</v>
      </c>
      <c r="F50" s="48">
        <v>1060</v>
      </c>
      <c r="G50" s="48">
        <v>3.6571428571428442</v>
      </c>
      <c r="H50" s="6" t="s">
        <v>80</v>
      </c>
    </row>
    <row r="51" spans="1:8">
      <c r="A51" s="6" t="s">
        <v>83</v>
      </c>
      <c r="B51" s="6" t="s">
        <v>48</v>
      </c>
      <c r="C51" s="6" t="s">
        <v>50</v>
      </c>
      <c r="D51" s="48">
        <v>1715</v>
      </c>
      <c r="E51" s="48">
        <v>1935.5</v>
      </c>
      <c r="F51" s="48">
        <v>1884</v>
      </c>
      <c r="G51" s="48">
        <v>-51.5</v>
      </c>
      <c r="H51" s="6" t="s">
        <v>78</v>
      </c>
    </row>
    <row r="52" spans="1:8">
      <c r="A52" s="6" t="s">
        <v>84</v>
      </c>
      <c r="B52" s="6" t="s">
        <v>48</v>
      </c>
      <c r="C52" s="6" t="s">
        <v>50</v>
      </c>
      <c r="D52" s="6">
        <v>232</v>
      </c>
      <c r="E52" s="6">
        <v>261.82857142857142</v>
      </c>
      <c r="F52" s="6">
        <v>335</v>
      </c>
      <c r="G52" s="6">
        <v>73.171428571428578</v>
      </c>
      <c r="H52" s="6" t="s">
        <v>80</v>
      </c>
    </row>
    <row r="53" spans="1:8">
      <c r="A53" s="6" t="s">
        <v>60</v>
      </c>
      <c r="B53" s="6" t="s">
        <v>48</v>
      </c>
      <c r="C53" s="6" t="s">
        <v>50</v>
      </c>
      <c r="D53" s="6">
        <v>3160</v>
      </c>
      <c r="E53" s="6">
        <v>3566.2857142857142</v>
      </c>
      <c r="F53" s="6">
        <v>3524</v>
      </c>
      <c r="G53" s="6">
        <v>-42.285714285714221</v>
      </c>
      <c r="H53" s="6" t="s">
        <v>78</v>
      </c>
    </row>
    <row r="54" spans="1:8">
      <c r="A54" s="6" t="s">
        <v>85</v>
      </c>
      <c r="B54" s="6" t="s">
        <v>48</v>
      </c>
      <c r="C54" s="6" t="s">
        <v>50</v>
      </c>
      <c r="D54" s="6">
        <v>1296</v>
      </c>
      <c r="E54" s="6">
        <v>1407.0857142857142</v>
      </c>
      <c r="F54" s="6">
        <v>1006</v>
      </c>
      <c r="G54" s="6">
        <v>-401.08571428571418</v>
      </c>
      <c r="H54" s="6" t="s">
        <v>78</v>
      </c>
    </row>
    <row r="55" spans="1:8">
      <c r="A55" s="6" t="s">
        <v>77</v>
      </c>
      <c r="B55" s="6" t="s">
        <v>39</v>
      </c>
      <c r="C55" s="6" t="s">
        <v>32</v>
      </c>
      <c r="D55" s="48">
        <v>251</v>
      </c>
      <c r="E55" s="48">
        <v>283.27142857142854</v>
      </c>
      <c r="F55" s="48">
        <v>302</v>
      </c>
      <c r="G55" s="48">
        <v>18.728571428571456</v>
      </c>
      <c r="H55" s="6" t="s">
        <v>80</v>
      </c>
    </row>
    <row r="56" spans="1:8">
      <c r="A56" s="6" t="s">
        <v>82</v>
      </c>
      <c r="B56" s="6" t="s">
        <v>39</v>
      </c>
      <c r="C56" s="6" t="s">
        <v>32</v>
      </c>
      <c r="D56" s="48">
        <v>236</v>
      </c>
      <c r="E56" s="48">
        <v>266.34285714285716</v>
      </c>
      <c r="F56" s="48">
        <v>239</v>
      </c>
      <c r="G56" s="48">
        <v>-27.342857142857156</v>
      </c>
      <c r="H56" s="6" t="s">
        <v>78</v>
      </c>
    </row>
    <row r="57" spans="1:8">
      <c r="A57" s="6" t="s">
        <v>83</v>
      </c>
      <c r="B57" s="6" t="s">
        <v>39</v>
      </c>
      <c r="C57" s="6" t="s">
        <v>32</v>
      </c>
      <c r="D57" s="48">
        <v>440</v>
      </c>
      <c r="E57" s="48">
        <v>496.57142857142856</v>
      </c>
      <c r="F57" s="48">
        <v>459</v>
      </c>
      <c r="G57" s="48">
        <v>-37.571428571428555</v>
      </c>
      <c r="H57" s="6" t="s">
        <v>78</v>
      </c>
    </row>
    <row r="58" spans="1:8">
      <c r="A58" s="6" t="s">
        <v>84</v>
      </c>
      <c r="B58" s="6" t="s">
        <v>39</v>
      </c>
      <c r="C58" s="6" t="s">
        <v>32</v>
      </c>
      <c r="D58" s="6">
        <v>84</v>
      </c>
      <c r="E58" s="6">
        <v>94.8</v>
      </c>
      <c r="F58" s="6">
        <v>90</v>
      </c>
      <c r="G58" s="6">
        <v>-4.7999999999999972</v>
      </c>
      <c r="H58" s="6" t="s">
        <v>78</v>
      </c>
    </row>
    <row r="59" spans="1:8">
      <c r="A59" s="6" t="s">
        <v>60</v>
      </c>
      <c r="B59" s="6" t="s">
        <v>39</v>
      </c>
      <c r="C59" s="6" t="s">
        <v>32</v>
      </c>
      <c r="D59" s="6">
        <v>753</v>
      </c>
      <c r="E59" s="6">
        <v>849.81428571428569</v>
      </c>
      <c r="F59" s="6">
        <v>719</v>
      </c>
      <c r="G59" s="6">
        <v>-130.81428571428569</v>
      </c>
      <c r="H59" s="6" t="s">
        <v>78</v>
      </c>
    </row>
    <row r="60" spans="1:8">
      <c r="A60" s="6" t="s">
        <v>85</v>
      </c>
      <c r="B60" s="6" t="s">
        <v>39</v>
      </c>
      <c r="C60" s="6" t="s">
        <v>32</v>
      </c>
      <c r="D60" s="6">
        <v>331</v>
      </c>
      <c r="E60" s="6">
        <v>359.37142857142857</v>
      </c>
      <c r="F60" s="6">
        <v>217</v>
      </c>
      <c r="G60" s="6">
        <v>-142.37142857142857</v>
      </c>
      <c r="H60" s="6" t="s">
        <v>78</v>
      </c>
    </row>
  </sheetData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240fe097-3f85-4899-bca1-fca57bcf2a24" xsi:nil="true"/>
    <lcf76f155ced4ddcb4097134ff3c332f xmlns="240fe097-3f85-4899-bca1-fca57bcf2a24">
      <Terms xmlns="http://schemas.microsoft.com/office/infopath/2007/PartnerControls"/>
    </lcf76f155ced4ddcb4097134ff3c332f>
    <TaxCatchAll xmlns="c887eb6c-3428-4505-86ed-dee9ffd76a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8C6D2E5A6294ABA09884F74BEB42D" ma:contentTypeVersion="18" ma:contentTypeDescription="Create a new document." ma:contentTypeScope="" ma:versionID="17098625234cdde8a8bf857d79053905">
  <xsd:schema xmlns:xsd="http://www.w3.org/2001/XMLSchema" xmlns:xs="http://www.w3.org/2001/XMLSchema" xmlns:p="http://schemas.microsoft.com/office/2006/metadata/properties" xmlns:ns2="240fe097-3f85-4899-bca1-fca57bcf2a24" xmlns:ns3="c887eb6c-3428-4505-86ed-dee9ffd76a20" targetNamespace="http://schemas.microsoft.com/office/2006/metadata/properties" ma:root="true" ma:fieldsID="07e523a36616d0efb872035e7530a770" ns2:_="" ns3:_="">
    <xsd:import namespace="240fe097-3f85-4899-bca1-fca57bcf2a24"/>
    <xsd:import namespace="c887eb6c-3428-4505-86ed-dee9ffd76a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fe097-3f85-4899-bca1-fca57bcf2a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5185f6-d9ab-49df-9c27-c23d8dce23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7eb6c-3428-4505-86ed-dee9ffd76a2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06c59e6-1120-4b7c-a737-1e61254e957b}" ma:internalName="TaxCatchAll" ma:showField="CatchAllData" ma:web="c887eb6c-3428-4505-86ed-dee9ffd76a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B2F38B-B1E3-48BA-8F3F-7E977B203C80}"/>
</file>

<file path=customXml/itemProps2.xml><?xml version="1.0" encoding="utf-8"?>
<ds:datastoreItem xmlns:ds="http://schemas.openxmlformats.org/officeDocument/2006/customXml" ds:itemID="{6B49A89C-99C0-4577-A596-878DF059E27A}"/>
</file>

<file path=customXml/itemProps3.xml><?xml version="1.0" encoding="utf-8"?>
<ds:datastoreItem xmlns:ds="http://schemas.openxmlformats.org/officeDocument/2006/customXml" ds:itemID="{AC1CF1E1-371F-44AB-994D-734905E50684}"/>
</file>

<file path=docMetadata/LabelInfo.xml><?xml version="1.0" encoding="utf-8"?>
<clbl:labelList xmlns:clbl="http://schemas.microsoft.com/office/2020/mipLabelMetadata">
  <clbl:label id="{b5bb54a4-5471-42cc-9f37-e4794686955d}" enabled="0" method="" siteId="{b5bb54a4-5471-42cc-9f37-e47946869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2026-09-15T20:04:31Z</dcterms:created>
  <dcterms:modified xsi:type="dcterms:W3CDTF">2026-09-23T18:31:03Z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0x010100BB58C6D2E5A6294ABA09884F74BEB42D</vt:lpwstr>
  </property>
  <property fmtid="{D5CDD505-2E9C-101B-9397-08002B2CF9AE}" pid="3" name="MediaServiceImageTags">
    <vt:lpwstr/>
  </property>
</Properties>
</file>